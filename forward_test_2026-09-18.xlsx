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arturmarkosyan/PycharmProjects/football-cards/"/>
    </mc:Choice>
  </mc:AlternateContent>
  <xr:revisionPtr revIDLastSave="0" documentId="13_ncr:1_{2F8D024A-66C0-4541-A01B-E88495AD2A6C}" xr6:coauthVersionLast="47" xr6:coauthVersionMax="47" xr10:uidLastSave="{00000000-0000-0000-0000-000000000000}"/>
  <bookViews>
    <workbookView xWindow="0" yWindow="660" windowWidth="29400" windowHeight="16820" xr2:uid="{00000000-000D-0000-FFFF-FFFF00000000}"/>
  </bookViews>
  <sheets>
    <sheet name="Predictions" sheetId="1" r:id="rId1"/>
    <sheet name="Scoring" sheetId="2" r:id="rId2"/>
    <sheet name="Read m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5" i="2"/>
  <c r="B14" i="2"/>
  <c r="B13" i="2"/>
  <c r="B12" i="2"/>
  <c r="B11" i="2"/>
  <c r="B10" i="2"/>
  <c r="B7" i="2"/>
  <c r="B6" i="2"/>
  <c r="B5" i="2"/>
  <c r="B4" i="2"/>
  <c r="B3" i="2"/>
  <c r="B2" i="2"/>
  <c r="AT47" i="1"/>
  <c r="AQ47" i="1"/>
  <c r="AU47" i="1" s="1"/>
  <c r="AV47" i="1" s="1"/>
  <c r="AT46" i="1"/>
  <c r="AQ46" i="1"/>
  <c r="AU46" i="1" s="1"/>
  <c r="AV46" i="1" s="1"/>
  <c r="AT45" i="1"/>
  <c r="AS45" i="1"/>
  <c r="AR45" i="1"/>
  <c r="AQ45" i="1"/>
  <c r="AU45" i="1" s="1"/>
  <c r="AV45" i="1" s="1"/>
  <c r="AT44" i="1"/>
  <c r="AS44" i="1"/>
  <c r="AR44" i="1"/>
  <c r="AQ44" i="1"/>
  <c r="AU44" i="1" s="1"/>
  <c r="AV44" i="1" s="1"/>
  <c r="AT43" i="1"/>
  <c r="AU43" i="1" s="1"/>
  <c r="AV43" i="1" s="1"/>
  <c r="AS43" i="1"/>
  <c r="AQ43" i="1"/>
  <c r="AR43" i="1" s="1"/>
  <c r="AT42" i="1"/>
  <c r="AU42" i="1" s="1"/>
  <c r="AV42" i="1" s="1"/>
  <c r="AQ42" i="1"/>
  <c r="AS42" i="1" s="1"/>
  <c r="AU41" i="1"/>
  <c r="AV41" i="1" s="1"/>
  <c r="AT41" i="1"/>
  <c r="AS41" i="1"/>
  <c r="AR41" i="1"/>
  <c r="AQ41" i="1"/>
  <c r="AT40" i="1"/>
  <c r="AS40" i="1"/>
  <c r="AR40" i="1"/>
  <c r="AQ40" i="1"/>
  <c r="AU40" i="1" s="1"/>
  <c r="AV40" i="1" s="1"/>
  <c r="AT39" i="1"/>
  <c r="AS39" i="1"/>
  <c r="AQ39" i="1"/>
  <c r="AU39" i="1" s="1"/>
  <c r="AV39" i="1" s="1"/>
  <c r="AX39" i="1" s="1"/>
  <c r="AY39" i="1" s="1"/>
  <c r="AX38" i="1"/>
  <c r="AY38" i="1" s="1"/>
  <c r="AT38" i="1"/>
  <c r="AQ38" i="1"/>
  <c r="AU38" i="1" s="1"/>
  <c r="AV38" i="1" s="1"/>
  <c r="AW38" i="1" s="1"/>
  <c r="AT37" i="1"/>
  <c r="AQ37" i="1"/>
  <c r="AT36" i="1"/>
  <c r="AU36" i="1" s="1"/>
  <c r="AV36" i="1" s="1"/>
  <c r="AS36" i="1"/>
  <c r="AR36" i="1"/>
  <c r="AQ36" i="1"/>
  <c r="AT35" i="1"/>
  <c r="AU35" i="1" s="1"/>
  <c r="AV35" i="1" s="1"/>
  <c r="AS35" i="1"/>
  <c r="AQ35" i="1"/>
  <c r="AR35" i="1" s="1"/>
  <c r="AT34" i="1"/>
  <c r="AQ34" i="1"/>
  <c r="AS34" i="1" s="1"/>
  <c r="AU33" i="1"/>
  <c r="AV33" i="1" s="1"/>
  <c r="AT33" i="1"/>
  <c r="AR33" i="1"/>
  <c r="AQ33" i="1"/>
  <c r="AS33" i="1" s="1"/>
  <c r="AV32" i="1"/>
  <c r="AT32" i="1"/>
  <c r="AS32" i="1"/>
  <c r="AR32" i="1"/>
  <c r="AQ32" i="1"/>
  <c r="AU32" i="1" s="1"/>
  <c r="AW31" i="1"/>
  <c r="AT31" i="1"/>
  <c r="AS31" i="1"/>
  <c r="AQ31" i="1"/>
  <c r="AU31" i="1" s="1"/>
  <c r="AV31" i="1" s="1"/>
  <c r="AX31" i="1" s="1"/>
  <c r="AY31" i="1" s="1"/>
  <c r="AT30" i="1"/>
  <c r="AQ30" i="1"/>
  <c r="AT29" i="1"/>
  <c r="AR29" i="1"/>
  <c r="AQ29" i="1"/>
  <c r="AT28" i="1"/>
  <c r="AU28" i="1" s="1"/>
  <c r="AV28" i="1" s="1"/>
  <c r="AS28" i="1"/>
  <c r="AR28" i="1"/>
  <c r="AQ28" i="1"/>
  <c r="AT27" i="1"/>
  <c r="AU27" i="1" s="1"/>
  <c r="AV27" i="1" s="1"/>
  <c r="AS27" i="1"/>
  <c r="AQ27" i="1"/>
  <c r="AR27" i="1" s="1"/>
  <c r="AT26" i="1"/>
  <c r="AU26" i="1" s="1"/>
  <c r="AV26" i="1" s="1"/>
  <c r="AQ26" i="1"/>
  <c r="AU25" i="1"/>
  <c r="AV25" i="1" s="1"/>
  <c r="AT25" i="1"/>
  <c r="AR25" i="1"/>
  <c r="AQ25" i="1"/>
  <c r="AS25" i="1" s="1"/>
  <c r="AV24" i="1"/>
  <c r="AX24" i="1" s="1"/>
  <c r="AY24" i="1" s="1"/>
  <c r="AT24" i="1"/>
  <c r="AS24" i="1"/>
  <c r="AR24" i="1"/>
  <c r="AQ24" i="1"/>
  <c r="AU24" i="1" s="1"/>
  <c r="AT23" i="1"/>
  <c r="AS23" i="1"/>
  <c r="AQ23" i="1"/>
  <c r="AT22" i="1"/>
  <c r="AQ22" i="1"/>
  <c r="AU22" i="1" s="1"/>
  <c r="AV22" i="1" s="1"/>
  <c r="AT21" i="1"/>
  <c r="AQ21" i="1"/>
  <c r="AT20" i="1"/>
  <c r="AU20" i="1" s="1"/>
  <c r="AV20" i="1" s="1"/>
  <c r="AX20" i="1" s="1"/>
  <c r="AY20" i="1" s="1"/>
  <c r="AS20" i="1"/>
  <c r="AR20" i="1"/>
  <c r="AQ20" i="1"/>
  <c r="AT19" i="1"/>
  <c r="AU19" i="1" s="1"/>
  <c r="AV19" i="1" s="1"/>
  <c r="AW19" i="1" s="1"/>
  <c r="AS19" i="1"/>
  <c r="AQ19" i="1"/>
  <c r="AR19" i="1" s="1"/>
  <c r="AU18" i="1"/>
  <c r="AV18" i="1" s="1"/>
  <c r="AT18" i="1"/>
  <c r="AQ18" i="1"/>
  <c r="AU17" i="1"/>
  <c r="AV17" i="1" s="1"/>
  <c r="AT17" i="1"/>
  <c r="AR17" i="1"/>
  <c r="AQ17" i="1"/>
  <c r="AS17" i="1" s="1"/>
  <c r="AW16" i="1"/>
  <c r="AV16" i="1"/>
  <c r="AX16" i="1" s="1"/>
  <c r="AY16" i="1" s="1"/>
  <c r="AT16" i="1"/>
  <c r="AS16" i="1"/>
  <c r="AR16" i="1"/>
  <c r="AQ16" i="1"/>
  <c r="AU16" i="1" s="1"/>
  <c r="AT15" i="1"/>
  <c r="AS15" i="1"/>
  <c r="AQ15" i="1"/>
  <c r="AT14" i="1"/>
  <c r="AQ14" i="1"/>
  <c r="AU14" i="1" s="1"/>
  <c r="AV14" i="1" s="1"/>
  <c r="AT13" i="1"/>
  <c r="AQ13" i="1"/>
  <c r="AT12" i="1"/>
  <c r="AU12" i="1" s="1"/>
  <c r="AV12" i="1" s="1"/>
  <c r="AX12" i="1" s="1"/>
  <c r="AY12" i="1" s="1"/>
  <c r="AS12" i="1"/>
  <c r="AR12" i="1"/>
  <c r="AQ12" i="1"/>
  <c r="AX11" i="1"/>
  <c r="AY11" i="1" s="1"/>
  <c r="AT11" i="1"/>
  <c r="AU11" i="1" s="1"/>
  <c r="AV11" i="1" s="1"/>
  <c r="AW11" i="1" s="1"/>
  <c r="AS11" i="1"/>
  <c r="AQ11" i="1"/>
  <c r="AR11" i="1" s="1"/>
  <c r="AT10" i="1"/>
  <c r="AU10" i="1" s="1"/>
  <c r="AV10" i="1" s="1"/>
  <c r="AQ10" i="1"/>
  <c r="AV9" i="1"/>
  <c r="AU9" i="1"/>
  <c r="AT9" i="1"/>
  <c r="AR9" i="1"/>
  <c r="AQ9" i="1"/>
  <c r="AS9" i="1" s="1"/>
  <c r="AV8" i="1"/>
  <c r="AX8" i="1" s="1"/>
  <c r="AY8" i="1" s="1"/>
  <c r="AT8" i="1"/>
  <c r="AS8" i="1"/>
  <c r="AR8" i="1"/>
  <c r="AQ8" i="1"/>
  <c r="AU8" i="1" s="1"/>
  <c r="AT7" i="1"/>
  <c r="AS7" i="1"/>
  <c r="AQ7" i="1"/>
  <c r="AT6" i="1"/>
  <c r="AQ6" i="1"/>
  <c r="AU6" i="1" s="1"/>
  <c r="AV6" i="1" s="1"/>
  <c r="AT5" i="1"/>
  <c r="AR5" i="1"/>
  <c r="AQ5" i="1"/>
  <c r="AT4" i="1"/>
  <c r="AU4" i="1" s="1"/>
  <c r="AV4" i="1" s="1"/>
  <c r="AX4" i="1" s="1"/>
  <c r="AY4" i="1" s="1"/>
  <c r="AS4" i="1"/>
  <c r="AR4" i="1"/>
  <c r="AQ4" i="1"/>
  <c r="AT3" i="1"/>
  <c r="AU3" i="1" s="1"/>
  <c r="AV3" i="1" s="1"/>
  <c r="AW3" i="1" s="1"/>
  <c r="AS3" i="1"/>
  <c r="AQ3" i="1"/>
  <c r="AR3" i="1" s="1"/>
  <c r="AT2" i="1"/>
  <c r="AQ2" i="1"/>
  <c r="AU2" i="1" s="1"/>
  <c r="AV2" i="1" s="1"/>
  <c r="AX10" i="1" l="1"/>
  <c r="AY10" i="1" s="1"/>
  <c r="AW10" i="1"/>
  <c r="AX40" i="1"/>
  <c r="AY40" i="1" s="1"/>
  <c r="AW40" i="1"/>
  <c r="AW14" i="1"/>
  <c r="AX14" i="1"/>
  <c r="AY14" i="1" s="1"/>
  <c r="AW6" i="1"/>
  <c r="AX6" i="1"/>
  <c r="AY6" i="1" s="1"/>
  <c r="AX17" i="1"/>
  <c r="AY17" i="1" s="1"/>
  <c r="AW17" i="1"/>
  <c r="AX25" i="1"/>
  <c r="AY25" i="1" s="1"/>
  <c r="AW25" i="1"/>
  <c r="AX26" i="1"/>
  <c r="AY26" i="1" s="1"/>
  <c r="AW26" i="1"/>
  <c r="AX2" i="1"/>
  <c r="AW2" i="1"/>
  <c r="B21" i="2"/>
  <c r="AW22" i="1"/>
  <c r="AX22" i="1"/>
  <c r="AY22" i="1" s="1"/>
  <c r="AX9" i="1"/>
  <c r="AY9" i="1" s="1"/>
  <c r="AW9" i="1"/>
  <c r="AU15" i="1"/>
  <c r="AV15" i="1" s="1"/>
  <c r="AS18" i="1"/>
  <c r="AR18" i="1"/>
  <c r="AX28" i="1"/>
  <c r="AY28" i="1" s="1"/>
  <c r="AW28" i="1"/>
  <c r="AX32" i="1"/>
  <c r="AY32" i="1" s="1"/>
  <c r="AW32" i="1"/>
  <c r="AX3" i="1"/>
  <c r="AY3" i="1" s="1"/>
  <c r="AU7" i="1"/>
  <c r="AV7" i="1" s="1"/>
  <c r="AS10" i="1"/>
  <c r="AR10" i="1"/>
  <c r="AW24" i="1"/>
  <c r="AU29" i="1"/>
  <c r="AV29" i="1" s="1"/>
  <c r="AS29" i="1"/>
  <c r="AX35" i="1"/>
  <c r="AY35" i="1" s="1"/>
  <c r="AW35" i="1"/>
  <c r="AX41" i="1"/>
  <c r="AY41" i="1" s="1"/>
  <c r="AW41" i="1"/>
  <c r="AX47" i="1"/>
  <c r="AY47" i="1" s="1"/>
  <c r="AW47" i="1"/>
  <c r="AX42" i="1"/>
  <c r="AY42" i="1" s="1"/>
  <c r="AW42" i="1"/>
  <c r="AW20" i="1"/>
  <c r="AX33" i="1"/>
  <c r="AY33" i="1" s="1"/>
  <c r="AW33" i="1"/>
  <c r="AU21" i="1"/>
  <c r="AV21" i="1" s="1"/>
  <c r="AS21" i="1"/>
  <c r="AU30" i="1"/>
  <c r="AV30" i="1" s="1"/>
  <c r="AS30" i="1"/>
  <c r="AR30" i="1"/>
  <c r="AX36" i="1"/>
  <c r="AY36" i="1" s="1"/>
  <c r="AW36" i="1"/>
  <c r="AS14" i="1"/>
  <c r="AR14" i="1"/>
  <c r="AW12" i="1"/>
  <c r="AW4" i="1"/>
  <c r="AU37" i="1"/>
  <c r="AV37" i="1" s="1"/>
  <c r="AS37" i="1"/>
  <c r="AR37" i="1"/>
  <c r="AX43" i="1"/>
  <c r="AY43" i="1" s="1"/>
  <c r="AW43" i="1"/>
  <c r="AS2" i="1"/>
  <c r="AR2" i="1"/>
  <c r="AX18" i="1"/>
  <c r="AY18" i="1" s="1"/>
  <c r="AW18" i="1"/>
  <c r="AS22" i="1"/>
  <c r="AR22" i="1"/>
  <c r="AW8" i="1"/>
  <c r="AX45" i="1"/>
  <c r="AY45" i="1" s="1"/>
  <c r="AW45" i="1"/>
  <c r="AS6" i="1"/>
  <c r="AR6" i="1"/>
  <c r="AX27" i="1"/>
  <c r="AY27" i="1" s="1"/>
  <c r="AW27" i="1"/>
  <c r="AU13" i="1"/>
  <c r="AV13" i="1" s="1"/>
  <c r="AS13" i="1"/>
  <c r="AR21" i="1"/>
  <c r="AU5" i="1"/>
  <c r="AV5" i="1" s="1"/>
  <c r="AS5" i="1"/>
  <c r="AR13" i="1"/>
  <c r="AX19" i="1"/>
  <c r="AY19" i="1" s="1"/>
  <c r="AU23" i="1"/>
  <c r="AV23" i="1" s="1"/>
  <c r="AS26" i="1"/>
  <c r="AR26" i="1"/>
  <c r="AW39" i="1"/>
  <c r="AX44" i="1"/>
  <c r="AY44" i="1" s="1"/>
  <c r="AW44" i="1"/>
  <c r="AW46" i="1"/>
  <c r="AX46" i="1"/>
  <c r="AY46" i="1" s="1"/>
  <c r="AR46" i="1"/>
  <c r="AR38" i="1"/>
  <c r="AR7" i="1"/>
  <c r="AR15" i="1"/>
  <c r="AR23" i="1"/>
  <c r="AR31" i="1"/>
  <c r="AS38" i="1"/>
  <c r="AR39" i="1"/>
  <c r="AS46" i="1"/>
  <c r="AR47" i="1"/>
  <c r="AU34" i="1"/>
  <c r="AV34" i="1" s="1"/>
  <c r="AS47" i="1"/>
  <c r="AR42" i="1"/>
  <c r="AR34" i="1"/>
  <c r="AX5" i="1" l="1"/>
  <c r="AY5" i="1" s="1"/>
  <c r="AW5" i="1"/>
  <c r="AX7" i="1"/>
  <c r="AY7" i="1" s="1"/>
  <c r="AW7" i="1"/>
  <c r="AW15" i="1"/>
  <c r="AX15" i="1"/>
  <c r="AY15" i="1" s="1"/>
  <c r="AX23" i="1"/>
  <c r="AY23" i="1" s="1"/>
  <c r="AW23" i="1"/>
  <c r="AX37" i="1"/>
  <c r="AY37" i="1" s="1"/>
  <c r="AW37" i="1"/>
  <c r="AX29" i="1"/>
  <c r="AY29" i="1" s="1"/>
  <c r="AW29" i="1"/>
  <c r="AX34" i="1"/>
  <c r="AY34" i="1" s="1"/>
  <c r="AW34" i="1"/>
  <c r="B26" i="2"/>
  <c r="B24" i="2"/>
  <c r="AY2" i="1"/>
  <c r="AX13" i="1"/>
  <c r="AY13" i="1" s="1"/>
  <c r="AW13" i="1"/>
  <c r="AW30" i="1"/>
  <c r="AX30" i="1"/>
  <c r="AY30" i="1" s="1"/>
  <c r="B19" i="2"/>
  <c r="AX21" i="1"/>
  <c r="AY21" i="1" s="1"/>
  <c r="AW21" i="1"/>
  <c r="B20" i="2"/>
  <c r="B25" i="2" l="1"/>
  <c r="B22" i="2"/>
  <c r="B23" i="2"/>
</calcChain>
</file>

<file path=xl/sharedStrings.xml><?xml version="1.0" encoding="utf-8"?>
<sst xmlns="http://schemas.openxmlformats.org/spreadsheetml/2006/main" count="401" uniqueCount="237">
  <si>
    <t>Date</t>
  </si>
  <si>
    <t>Div</t>
  </si>
  <si>
    <t>League</t>
  </si>
  <si>
    <t>Home</t>
  </si>
  <si>
    <t>Away</t>
  </si>
  <si>
    <t>League avg</t>
  </si>
  <si>
    <t>Model expects</t>
  </si>
  <si>
    <t>P(o1.5)</t>
  </si>
  <si>
    <t>P(o2.5)</t>
  </si>
  <si>
    <t>P(o3.5)</t>
  </si>
  <si>
    <t>P(o4.5)</t>
  </si>
  <si>
    <t>P(o5.5)</t>
  </si>
  <si>
    <t>P(o6.5)</t>
  </si>
  <si>
    <t>FAIR over 1.5</t>
  </si>
  <si>
    <t>FAIR over 2.5</t>
  </si>
  <si>
    <t>FAIR over 3.5</t>
  </si>
  <si>
    <t>FAIR over 4.5</t>
  </si>
  <si>
    <t>FAIR over 5.5</t>
  </si>
  <si>
    <t>FAIR over 6.5</t>
  </si>
  <si>
    <t>FAIR under 1.5</t>
  </si>
  <si>
    <t>FAIR under 2.5</t>
  </si>
  <si>
    <t>FAIR under 3.5</t>
  </si>
  <si>
    <t>FAIR under 4.5</t>
  </si>
  <si>
    <t>FAIR under 5.5</t>
  </si>
  <si>
    <t>FAIR under 6.5</t>
  </si>
  <si>
    <t>P(0)</t>
  </si>
  <si>
    <t>P(1)</t>
  </si>
  <si>
    <t>P(2)</t>
  </si>
  <si>
    <t>P(3)</t>
  </si>
  <si>
    <t>P(4)</t>
  </si>
  <si>
    <t>P(5)</t>
  </si>
  <si>
    <t>P(6)</t>
  </si>
  <si>
    <t>P(7)</t>
  </si>
  <si>
    <t>P(8)</t>
  </si>
  <si>
    <t>Referee used</t>
  </si>
  <si>
    <t>Ref x avg</t>
  </si>
  <si>
    <t>Ref matches</t>
  </si>
  <si>
    <t>ACTUAL yellows</t>
  </si>
  <si>
    <t>Bookmaker</t>
  </si>
  <si>
    <t>Card line</t>
  </si>
  <si>
    <t>Over price</t>
  </si>
  <si>
    <t>Under price</t>
  </si>
  <si>
    <t>Model P(over)</t>
  </si>
  <si>
    <t>Model FAIR over</t>
  </si>
  <si>
    <t>Model FAIR under</t>
  </si>
  <si>
    <t>Implied P(over)</t>
  </si>
  <si>
    <t>Edge</t>
  </si>
  <si>
    <t>BET?</t>
  </si>
  <si>
    <t>EV</t>
  </si>
  <si>
    <t>Won?</t>
  </si>
  <si>
    <t>P/L units</t>
  </si>
  <si>
    <t>Notes</t>
  </si>
  <si>
    <t>2026-09-18</t>
  </si>
  <si>
    <t>E0</t>
  </si>
  <si>
    <t>Premier League</t>
  </si>
  <si>
    <t>Brentford</t>
  </si>
  <si>
    <t>Chelsea</t>
  </si>
  <si>
    <t>a madley</t>
  </si>
  <si>
    <t>screenshot</t>
  </si>
  <si>
    <t>also offered o4.5 2.14 / u4.5 1.60</t>
  </si>
  <si>
    <t>2026-09-19</t>
  </si>
  <si>
    <t>Tottenham</t>
  </si>
  <si>
    <t>Aston Villa</t>
  </si>
  <si>
    <t>s barrott</t>
  </si>
  <si>
    <t>Brighton</t>
  </si>
  <si>
    <t>Arsenal</t>
  </si>
  <si>
    <t>d england</t>
  </si>
  <si>
    <t>Everton</t>
  </si>
  <si>
    <t>Ipswich</t>
  </si>
  <si>
    <t>s attwell</t>
  </si>
  <si>
    <t>Newcastle</t>
  </si>
  <si>
    <t>Hull</t>
  </si>
  <si>
    <t>t harrington</t>
  </si>
  <si>
    <t>Nott'm Forest</t>
  </si>
  <si>
    <t>Coventry</t>
  </si>
  <si>
    <t>j gillett</t>
  </si>
  <si>
    <t>2026-09-20</t>
  </si>
  <si>
    <t>Bournemouth</t>
  </si>
  <si>
    <t>Liverpool</t>
  </si>
  <si>
    <t>m oliver</t>
  </si>
  <si>
    <t>Leeds</t>
  </si>
  <si>
    <t>Crystal Palace</t>
  </si>
  <si>
    <t>a herczeg</t>
  </si>
  <si>
    <t>Man City</t>
  </si>
  <si>
    <t>Sunderland</t>
  </si>
  <si>
    <t>r jones</t>
  </si>
  <si>
    <t>Fulham</t>
  </si>
  <si>
    <t>Man United</t>
  </si>
  <si>
    <t>p bankes</t>
  </si>
  <si>
    <t>E1</t>
  </si>
  <si>
    <t>Championship</t>
  </si>
  <si>
    <t>Bristol City</t>
  </si>
  <si>
    <t>Watford</t>
  </si>
  <si>
    <t>not known</t>
  </si>
  <si>
    <t>Cardiff</t>
  </si>
  <si>
    <t>Charlton</t>
  </si>
  <si>
    <t>Millwall</t>
  </si>
  <si>
    <t>West Ham</t>
  </si>
  <si>
    <t>Stoke</t>
  </si>
  <si>
    <t>Sheffield United</t>
  </si>
  <si>
    <t>Birmingham</t>
  </si>
  <si>
    <t>Middlesbrough</t>
  </si>
  <si>
    <t>Burnley</t>
  </si>
  <si>
    <t>Derby</t>
  </si>
  <si>
    <t>Lincoln</t>
  </si>
  <si>
    <t>Swansea</t>
  </si>
  <si>
    <t>Portsmouth</t>
  </si>
  <si>
    <t>Blackburn</t>
  </si>
  <si>
    <t>QPR</t>
  </si>
  <si>
    <t>Preston</t>
  </si>
  <si>
    <t>Wrexham</t>
  </si>
  <si>
    <t>Southampton</t>
  </si>
  <si>
    <t>Wolves</t>
  </si>
  <si>
    <t>West Brom</t>
  </si>
  <si>
    <t>Norwich</t>
  </si>
  <si>
    <t>Bolton</t>
  </si>
  <si>
    <t>2026-09-17</t>
  </si>
  <si>
    <t>E2</t>
  </si>
  <si>
    <t>League One</t>
  </si>
  <si>
    <t>AFC Wimbledon</t>
  </si>
  <si>
    <t>Milton Keynes Dons</t>
  </si>
  <si>
    <t>Barnsley</t>
  </si>
  <si>
    <t>Leicester</t>
  </si>
  <si>
    <t>Burton</t>
  </si>
  <si>
    <t>Mansfield</t>
  </si>
  <si>
    <t>Blackpool</t>
  </si>
  <si>
    <t>Plymouth</t>
  </si>
  <si>
    <t>Bromley</t>
  </si>
  <si>
    <t>Huddersfield</t>
  </si>
  <si>
    <t>Leyton Orient</t>
  </si>
  <si>
    <t>Stevenage</t>
  </si>
  <si>
    <t>Luton</t>
  </si>
  <si>
    <t>Bradford</t>
  </si>
  <si>
    <t>Oxford</t>
  </si>
  <si>
    <t>Cambridge</t>
  </si>
  <si>
    <t>Peterboro</t>
  </si>
  <si>
    <t>Doncaster</t>
  </si>
  <si>
    <t>Reading</t>
  </si>
  <si>
    <t>Notts County</t>
  </si>
  <si>
    <t>Sheffield Weds</t>
  </si>
  <si>
    <t>Stockport</t>
  </si>
  <si>
    <t>Wigan</t>
  </si>
  <si>
    <t>Wycombe</t>
  </si>
  <si>
    <t>E3</t>
  </si>
  <si>
    <t>League Two</t>
  </si>
  <si>
    <t>Rochdale</t>
  </si>
  <si>
    <t>Oldham</t>
  </si>
  <si>
    <t>Walsall</t>
  </si>
  <si>
    <t>Port Vale</t>
  </si>
  <si>
    <t>Accrington</t>
  </si>
  <si>
    <t>Newport County</t>
  </si>
  <si>
    <t>Barnet</t>
  </si>
  <si>
    <t>Fleetwood Town</t>
  </si>
  <si>
    <t>Chesterfield</t>
  </si>
  <si>
    <t>York</t>
  </si>
  <si>
    <t>Colchester</t>
  </si>
  <si>
    <t>Cheltenham</t>
  </si>
  <si>
    <t>Crewe</t>
  </si>
  <si>
    <t>Shrewsbury</t>
  </si>
  <si>
    <t>Exeter</t>
  </si>
  <si>
    <t>Tranmere</t>
  </si>
  <si>
    <t>Gillingham</t>
  </si>
  <si>
    <t>Bristol Rvs</t>
  </si>
  <si>
    <t>Grimsby</t>
  </si>
  <si>
    <t>Crawley Town</t>
  </si>
  <si>
    <t>Northampton</t>
  </si>
  <si>
    <t>Rotherham</t>
  </si>
  <si>
    <t>Salford</t>
  </si>
  <si>
    <t>Swindon</t>
  </si>
  <si>
    <t>EXAMPLE OF A COMPLETED ROW (not a real fixture, not counted anywhere)</t>
  </si>
  <si>
    <t>Example FC</t>
  </si>
  <si>
    <t>Sample United</t>
  </si>
  <si>
    <t>a referee</t>
  </si>
  <si>
    <t>Bet365</t>
  </si>
  <si>
    <t>OVER</t>
  </si>
  <si>
    <t>WON</t>
  </si>
  <si>
    <t>5 yellows &gt; 3.5, so the OVER won at 1.80: +0.80 units</t>
  </si>
  <si>
    <t>Metric</t>
  </si>
  <si>
    <t>Value</t>
  </si>
  <si>
    <t>What it means</t>
  </si>
  <si>
    <t>Matches predicted</t>
  </si>
  <si>
    <t>Results entered</t>
  </si>
  <si>
    <t>Fill the yellow ACTUAL column in.</t>
  </si>
  <si>
    <t>Mean predicted (filled rows)</t>
  </si>
  <si>
    <t>Averaged over only the matches you have entered.</t>
  </si>
  <si>
    <t>Mean actual</t>
  </si>
  <si>
    <t>Bias (actual - predicted)</t>
  </si>
  <si>
    <t>Positive = the model under-predicts cards.</t>
  </si>
  <si>
    <t>Mean absolute error</t>
  </si>
  <si>
    <t>Expect ~1.5. Match cards are genuinely noisy.</t>
  </si>
  <si>
    <t>CALIBRATION -- THE NUMBER THAT MATTERS</t>
  </si>
  <si>
    <t>Predicted over 3.5</t>
  </si>
  <si>
    <t>Actual share over 3.5</t>
  </si>
  <si>
    <t>Calibration gap</t>
  </si>
  <si>
    <t>Near zero = well calibrated. This is the whole test.</t>
  </si>
  <si>
    <t>Predicted over 2.5</t>
  </si>
  <si>
    <t>Actual share over 2.5</t>
  </si>
  <si>
    <t>Predicted over 4.5</t>
  </si>
  <si>
    <t>Actual share over 4.5</t>
  </si>
  <si>
    <t>BETTING -- ONLY IF YOU ENTERED PRICES</t>
  </si>
  <si>
    <t>Bets the model would place</t>
  </si>
  <si>
    <t>Edge of 5 points or more. Most fixtures should be skips.</t>
  </si>
  <si>
    <t xml:space="preserve">  of which OVER</t>
  </si>
  <si>
    <t xml:space="preserve">  of which UNDER</t>
  </si>
  <si>
    <t>A model below the price is an edge too.</t>
  </si>
  <si>
    <t>Bets settled</t>
  </si>
  <si>
    <t>Bets won</t>
  </si>
  <si>
    <t>Strike rate</t>
  </si>
  <si>
    <t>Means nothing on its own -- a 40% strike rate at long prices wins.</t>
  </si>
  <si>
    <t>Profit / loss (units)</t>
  </si>
  <si>
    <t>One unit staked per bet. This is the number that matters.</t>
  </si>
  <si>
    <t>ROI</t>
  </si>
  <si>
    <t>Over one weekend this is NOISE. A few hundred bets before it means anything.</t>
  </si>
  <si>
    <t>HOW TO USE THIS FILE</t>
  </si>
  <si>
    <t>Yellow columns are yours to fill in. Everything else calculates.</t>
  </si>
  <si>
    <t xml:space="preserve">  ACTUAL yellows -- both teams combined, YELLOW cards only.</t>
  </si>
  <si>
    <t xml:space="preserve">  Bookmaker / Card line / Over price / Under price -- what you were offered.</t>
  </si>
  <si>
    <t>Give BOTH prices where you can: with only one, the margin cannot be removed and your edge looks smaller than it is.</t>
  </si>
  <si>
    <t>READING THE ODDS COLUMNS</t>
  </si>
  <si>
    <t>Every probability is also shown as FAIR DECIMAL ODDS, which is 1 / probability -- the same form a bookmaker quotes.</t>
  </si>
  <si>
    <t>A 50% chance is 2.00. A 67% chance is 1.50. A 25% chance is 4.00.</t>
  </si>
  <si>
    <t>The comparison is then direct: if the bookmaker's price is LONGER than the model's fair price, that side is value.</t>
  </si>
  <si>
    <t>Example: model fair under 3.5 = 2.11, bookmaker offers 2.34. 2.34 &gt; 2.11, so the under is value.</t>
  </si>
  <si>
    <t>WHAT WAS PREDICTED, AND WITH WHAT</t>
  </si>
  <si>
    <t>Negative binomial GLM, 38 features, trained on 51,715 matches to the end of 2025/26.</t>
  </si>
  <si>
    <t>Premier League fixtures carry their real referee appointment. The EFL had not published its appointments when this was generated, so those 36 fixtures ran with the referee unknown.</t>
  </si>
  <si>
    <t>That matters: referee features carry 47% of this model's value. The PL rows test the model at full strength; the EFL rows test it without its most important input.</t>
  </si>
  <si>
    <t>No match odds were used as model inputs -- only partial prices were available and the margin cannot be removed from one side alone.</t>
  </si>
  <si>
    <t>WHAT WOULD COUNT AS SUCCESS</t>
  </si>
  <si>
    <t>Calibration gap within about 5 percentage points.</t>
  </si>
  <si>
    <t>Mean absolute error near 1.5 cards is EXPECTED, not a failure: the match-level standard deviation of yellows is about 1.9.</t>
  </si>
  <si>
    <t>Profit or loss over one weekend is noise. It is recorded so that a season of weekends eventually means something.</t>
  </si>
  <si>
    <t>PROVENANCE</t>
  </si>
  <si>
    <t>Generated 2026-09-17 11:46 UTC, before any of these matches kicked off.</t>
  </si>
  <si>
    <t>Fixtures: ESPN, cross-checked against Sky Sports and the EFL news feed -- ESPN alone was missing two Friday/Thursday evening games.</t>
  </si>
  <si>
    <t>Referees: premierleague.com Matchweek 5 officials.</t>
  </si>
  <si>
    <t>These fixtures are the 2026/27 holdout. Generating predictions is not a holdout look. Scoring them is, and it will be logged.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</si>
</sst>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+0.00;\-0.00;0.00"/>
  </numFmts>
  <fonts count="12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3" borderId="1" xfId="0" applyFont="1" applyFill="1" applyBorder="1"/>
    <xf numFmtId="165" fontId="2" fillId="0" borderId="1" xfId="0" applyNumberFormat="1" applyFont="1" applyBorder="1" applyAlignment="1">
      <alignment horizontal="center"/>
    </xf>
    <xf numFmtId="0" fontId="2" fillId="3" borderId="1" xfId="0" applyFont="1" applyFill="1" applyBorder="1"/>
    <xf numFmtId="0" fontId="4" fillId="0" borderId="0" xfId="0" applyFont="1"/>
    <xf numFmtId="0" fontId="5" fillId="4" borderId="0" xfId="0" applyFont="1" applyFill="1" applyAlignment="1">
      <alignment horizontal="center"/>
    </xf>
    <xf numFmtId="2" fontId="5" fillId="4" borderId="0" xfId="0" applyNumberFormat="1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65" fontId="5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8" fillId="2" borderId="0" xfId="0" applyFont="1" applyFill="1"/>
    <xf numFmtId="0" fontId="7" fillId="0" borderId="0" xfId="0" applyFont="1"/>
    <xf numFmtId="0" fontId="9" fillId="0" borderId="0" xfId="0" applyFont="1"/>
    <xf numFmtId="2" fontId="7" fillId="0" borderId="0" xfId="0" applyNumberFormat="1" applyFont="1"/>
    <xf numFmtId="0" fontId="6" fillId="0" borderId="0" xfId="0" applyFont="1"/>
    <xf numFmtId="164" fontId="7" fillId="0" borderId="0" xfId="0" applyNumberFormat="1" applyFont="1"/>
    <xf numFmtId="165" fontId="7" fillId="0" borderId="0" xfId="0" applyNumberFormat="1" applyFont="1"/>
    <xf numFmtId="0" fontId="10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"/>
  <sheetViews>
    <sheetView tabSelected="1" workbookViewId="0">
      <pane xSplit="5" ySplit="1" topLeftCell="U2" activePane="bottomRight" state="frozen"/>
      <selection pane="topRight"/>
      <selection pane="bottomLeft"/>
      <selection pane="bottomRight" activeCell="AI17" sqref="AI17"/>
    </sheetView>
  </sheetViews>
  <sheetFormatPr baseColWidth="10" defaultColWidth="8.83203125" defaultRowHeight="15" x14ac:dyDescent="0.2"/>
  <cols>
    <col min="1" max="1" width="11" customWidth="1"/>
    <col min="2" max="2" width="6" customWidth="1"/>
    <col min="3" max="3" width="15" customWidth="1"/>
    <col min="4" max="5" width="16" customWidth="1"/>
    <col min="6" max="6" width="10" customWidth="1"/>
    <col min="7" max="7" width="12" customWidth="1"/>
    <col min="8" max="13" width="9" customWidth="1"/>
    <col min="14" max="19" width="11" customWidth="1"/>
    <col min="20" max="25" width="12" customWidth="1"/>
    <col min="26" max="34" width="7" customWidth="1"/>
    <col min="35" max="35" width="14" customWidth="1"/>
    <col min="36" max="36" width="9" customWidth="1"/>
    <col min="37" max="37" width="10" customWidth="1"/>
    <col min="38" max="38" width="13" customWidth="1"/>
    <col min="39" max="39" width="12" customWidth="1"/>
    <col min="40" max="40" width="9" customWidth="1"/>
    <col min="41" max="42" width="10" customWidth="1"/>
    <col min="43" max="43" width="12" customWidth="1"/>
    <col min="44" max="46" width="13" customWidth="1"/>
    <col min="47" max="47" width="8" customWidth="1"/>
    <col min="48" max="48" width="9" customWidth="1"/>
    <col min="49" max="50" width="8" customWidth="1"/>
    <col min="51" max="51" width="9" customWidth="1"/>
    <col min="52" max="52" width="20" customWidth="1"/>
  </cols>
  <sheetData>
    <row r="1" spans="1:52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2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3">
        <v>3.8666666666666671</v>
      </c>
      <c r="G2" s="3">
        <v>3.8335751041210182</v>
      </c>
      <c r="H2" s="4">
        <v>0.88613214650908234</v>
      </c>
      <c r="I2" s="4">
        <v>0.72519541724927017</v>
      </c>
      <c r="J2" s="4">
        <v>0.5268432881252767</v>
      </c>
      <c r="K2" s="4">
        <v>0.33981246648739633</v>
      </c>
      <c r="L2" s="4">
        <v>0.19595097550579299</v>
      </c>
      <c r="M2" s="4">
        <v>0.10195745602057039</v>
      </c>
      <c r="N2" s="3">
        <v>1.1284998563019071</v>
      </c>
      <c r="O2" s="3">
        <v>1.3789386642749171</v>
      </c>
      <c r="P2" s="3">
        <v>1.8980976365066879</v>
      </c>
      <c r="Q2" s="3">
        <v>2.9427996280916031</v>
      </c>
      <c r="R2" s="3">
        <v>5.1033172834112097</v>
      </c>
      <c r="S2" s="3">
        <v>9.8080124694190634</v>
      </c>
      <c r="T2" s="3">
        <v>8.782109869839271</v>
      </c>
      <c r="U2" s="3">
        <v>3.6389495036444921</v>
      </c>
      <c r="V2" s="3">
        <v>2.113464682848603</v>
      </c>
      <c r="W2" s="3">
        <v>1.5147211197390911</v>
      </c>
      <c r="X2" s="3">
        <v>1.2437052586800379</v>
      </c>
      <c r="Y2" s="3">
        <v>1.1135329909524929</v>
      </c>
      <c r="Z2" s="4">
        <v>2.503150853569416E-2</v>
      </c>
      <c r="AA2" s="4">
        <v>8.8836344955223551E-2</v>
      </c>
      <c r="AB2" s="4">
        <v>0.16093672925981209</v>
      </c>
      <c r="AC2" s="4">
        <v>0.1983521291239935</v>
      </c>
      <c r="AD2" s="4">
        <v>0.1870308216378804</v>
      </c>
      <c r="AE2" s="4">
        <v>0.14386149098160331</v>
      </c>
      <c r="AF2" s="4">
        <v>9.399351948522261E-2</v>
      </c>
      <c r="AG2" s="4">
        <v>5.363544979944377E-2</v>
      </c>
      <c r="AH2" s="4">
        <v>2.7277929884487961E-2</v>
      </c>
      <c r="AI2" s="5" t="s">
        <v>57</v>
      </c>
      <c r="AJ2" s="3">
        <v>0.75</v>
      </c>
      <c r="AK2" s="5">
        <v>393</v>
      </c>
      <c r="AL2" s="6"/>
      <c r="AM2" s="6" t="s">
        <v>58</v>
      </c>
      <c r="AN2" s="6">
        <v>3.5</v>
      </c>
      <c r="AO2" s="6">
        <v>1.5</v>
      </c>
      <c r="AP2" s="6">
        <v>2.34</v>
      </c>
      <c r="AQ2" s="4">
        <f t="shared" ref="AQ2:AQ47" si="0">IFERROR(IF($AN2="","",INDEX($H2:$M2,$AN2-0.5)),"line must be 1.5-6.5")</f>
        <v>0.5268432881252767</v>
      </c>
      <c r="AR2" s="3">
        <f t="shared" ref="AR2:AR47" si="1">IF(ISNUMBER($AQ2),1/$AQ2,"")</f>
        <v>1.8980976365066884</v>
      </c>
      <c r="AS2" s="3">
        <f t="shared" ref="AS2:AS47" si="2">IF(ISNUMBER($AQ2),1/(1-$AQ2),"")</f>
        <v>2.113464682848603</v>
      </c>
      <c r="AT2" s="4">
        <f t="shared" ref="AT2:AT47" si="3">IF($AO2="","",IF($AP2="",1/$AO2,(1/$AO2)/((1/$AO2)+(1/$AP2))))</f>
        <v>0.60937499999999989</v>
      </c>
      <c r="AU2" s="4">
        <f t="shared" ref="AU2:AU47" si="4">IF(OR(NOT(ISNUMBER($AQ2)),$AT2=""),"",$AQ2-$AT2)</f>
        <v>-8.253171187472319E-2</v>
      </c>
      <c r="AV2" s="5" t="str">
        <f t="shared" ref="AV2:AV47" si="5">IF($AU2="","",IF($AU2&gt;=0.05,"OVER",IF($AU2&lt;=-0.05,"UNDER","skip")))</f>
        <v>UNDER</v>
      </c>
      <c r="AW2" s="4">
        <f t="shared" ref="AW2:AW47" si="6">IF($AV2="OVER",$AQ2*$AO2-1,IF($AV2="UNDER",IF($AP2="","need under price",(1-$AQ2)*$AP2-1),""))</f>
        <v>0.10718670578685252</v>
      </c>
      <c r="AX2" s="5" t="str">
        <f t="shared" ref="AX2:AX47" si="7">IF(OR($AV2="",$AV2="skip",$AL2="",$AN2=""),"",IF($AV2="OVER",IF($AL2&gt;$AN2,"WON","LOST"),IF($AL2&lt;$AN2,"WON","LOST")))</f>
        <v/>
      </c>
      <c r="AY2" s="7" t="str">
        <f t="shared" ref="AY2:AY47" si="8">IF($AX2="","",IF($AX2="WON",IF($AV2="OVER",$AO2-1,$AP2-1),-1))</f>
        <v/>
      </c>
      <c r="AZ2" s="6" t="s">
        <v>59</v>
      </c>
    </row>
    <row r="3" spans="1:52" x14ac:dyDescent="0.2">
      <c r="A3" s="2" t="s">
        <v>60</v>
      </c>
      <c r="B3" s="2" t="s">
        <v>53</v>
      </c>
      <c r="C3" s="2" t="s">
        <v>54</v>
      </c>
      <c r="D3" s="2" t="s">
        <v>61</v>
      </c>
      <c r="E3" s="2" t="s">
        <v>62</v>
      </c>
      <c r="F3" s="3">
        <v>3.8666666666666671</v>
      </c>
      <c r="G3" s="3">
        <v>4.2959185243638176</v>
      </c>
      <c r="H3" s="4">
        <v>0.91921985443667509</v>
      </c>
      <c r="I3" s="4">
        <v>0.78957432995476351</v>
      </c>
      <c r="J3" s="4">
        <v>0.61210626155322212</v>
      </c>
      <c r="K3" s="4">
        <v>0.4262498553490135</v>
      </c>
      <c r="L3" s="4">
        <v>0.26747200855641029</v>
      </c>
      <c r="M3" s="4">
        <v>0.1522529664437042</v>
      </c>
      <c r="N3" s="3">
        <v>1.0878790260822091</v>
      </c>
      <c r="O3" s="3">
        <v>1.266505206745123</v>
      </c>
      <c r="P3" s="3">
        <v>1.633703268224207</v>
      </c>
      <c r="Q3" s="3">
        <v>2.3460418518645589</v>
      </c>
      <c r="R3" s="3">
        <v>3.738708978921427</v>
      </c>
      <c r="S3" s="3">
        <v>6.5680165277420164</v>
      </c>
      <c r="T3" s="3">
        <v>12.379279500258921</v>
      </c>
      <c r="U3" s="3">
        <v>4.7522719057281551</v>
      </c>
      <c r="V3" s="3">
        <v>2.5780256314635199</v>
      </c>
      <c r="W3" s="3">
        <v>1.742918950562186</v>
      </c>
      <c r="X3" s="3">
        <v>1.365135546601167</v>
      </c>
      <c r="Y3" s="3">
        <v>1.1795971680431649</v>
      </c>
      <c r="Z3" s="4">
        <v>1.634659814071163E-2</v>
      </c>
      <c r="AA3" s="4">
        <v>6.4433547422613313E-2</v>
      </c>
      <c r="AB3" s="4">
        <v>0.12964552448191161</v>
      </c>
      <c r="AC3" s="4">
        <v>0.17746806840154139</v>
      </c>
      <c r="AD3" s="4">
        <v>0.1858564062042086</v>
      </c>
      <c r="AE3" s="4">
        <v>0.15877784679260321</v>
      </c>
      <c r="AF3" s="4">
        <v>0.1152190421127061</v>
      </c>
      <c r="AG3" s="4">
        <v>7.3022933146709282E-2</v>
      </c>
      <c r="AH3" s="4">
        <v>4.1247701499387363E-2</v>
      </c>
      <c r="AI3" s="5" t="s">
        <v>63</v>
      </c>
      <c r="AJ3" s="3">
        <v>0.95689655172413801</v>
      </c>
      <c r="AK3" s="5">
        <v>167</v>
      </c>
      <c r="AL3" s="8"/>
      <c r="AM3" s="8"/>
      <c r="AN3" s="8"/>
      <c r="AO3" s="8"/>
      <c r="AP3" s="8"/>
      <c r="AQ3" s="4" t="str">
        <f t="shared" si="0"/>
        <v/>
      </c>
      <c r="AR3" s="3" t="str">
        <f t="shared" si="1"/>
        <v/>
      </c>
      <c r="AS3" s="3" t="str">
        <f t="shared" si="2"/>
        <v/>
      </c>
      <c r="AT3" s="4" t="str">
        <f t="shared" si="3"/>
        <v/>
      </c>
      <c r="AU3" s="4" t="str">
        <f t="shared" si="4"/>
        <v/>
      </c>
      <c r="AV3" s="5" t="str">
        <f t="shared" si="5"/>
        <v/>
      </c>
      <c r="AW3" s="4" t="str">
        <f t="shared" si="6"/>
        <v/>
      </c>
      <c r="AX3" s="5" t="str">
        <f t="shared" si="7"/>
        <v/>
      </c>
      <c r="AY3" s="7" t="str">
        <f t="shared" si="8"/>
        <v/>
      </c>
      <c r="AZ3" s="8"/>
    </row>
    <row r="4" spans="1:52" x14ac:dyDescent="0.2">
      <c r="A4" s="2" t="s">
        <v>60</v>
      </c>
      <c r="B4" s="2" t="s">
        <v>53</v>
      </c>
      <c r="C4" s="2" t="s">
        <v>54</v>
      </c>
      <c r="D4" s="2" t="s">
        <v>64</v>
      </c>
      <c r="E4" s="2" t="s">
        <v>65</v>
      </c>
      <c r="F4" s="3">
        <v>3.8666666666666671</v>
      </c>
      <c r="G4" s="3">
        <v>4.1363835201394163</v>
      </c>
      <c r="H4" s="4">
        <v>0.90901491530499878</v>
      </c>
      <c r="I4" s="4">
        <v>0.76898503560213405</v>
      </c>
      <c r="J4" s="4">
        <v>0.58385366535787564</v>
      </c>
      <c r="K4" s="4">
        <v>0.39659844460507571</v>
      </c>
      <c r="L4" s="4">
        <v>0.24209331088505209</v>
      </c>
      <c r="M4" s="4">
        <v>0.1338069215635703</v>
      </c>
      <c r="N4" s="3">
        <v>1.1000919601681931</v>
      </c>
      <c r="O4" s="3">
        <v>1.3004154225406681</v>
      </c>
      <c r="P4" s="3">
        <v>1.7127579380477911</v>
      </c>
      <c r="Q4" s="3">
        <v>2.521442062123513</v>
      </c>
      <c r="R4" s="3">
        <v>4.1306387043250776</v>
      </c>
      <c r="S4" s="3">
        <v>7.473454947731609</v>
      </c>
      <c r="T4" s="3">
        <v>10.99081243208362</v>
      </c>
      <c r="U4" s="3">
        <v>4.3287239101868229</v>
      </c>
      <c r="V4" s="3">
        <v>2.4030008599258128</v>
      </c>
      <c r="W4" s="3">
        <v>1.657271167200594</v>
      </c>
      <c r="X4" s="3">
        <v>1.3194236366587011</v>
      </c>
      <c r="Y4" s="3">
        <v>1.1544770154537669</v>
      </c>
      <c r="Z4" s="4">
        <v>1.8927678911414319E-2</v>
      </c>
      <c r="AA4" s="4">
        <v>7.2057405783586881E-2</v>
      </c>
      <c r="AB4" s="4">
        <v>0.14002987970286479</v>
      </c>
      <c r="AC4" s="4">
        <v>0.18513137024425841</v>
      </c>
      <c r="AD4" s="4">
        <v>0.18725522075279991</v>
      </c>
      <c r="AE4" s="4">
        <v>0.1545051337200235</v>
      </c>
      <c r="AF4" s="4">
        <v>0.1082863893214818</v>
      </c>
      <c r="AG4" s="4">
        <v>6.6283509143968564E-2</v>
      </c>
      <c r="AH4" s="4">
        <v>3.6161178710831923E-2</v>
      </c>
      <c r="AI4" s="5" t="s">
        <v>66</v>
      </c>
      <c r="AJ4" s="3">
        <v>1.267241379310345</v>
      </c>
      <c r="AK4" s="5">
        <v>279</v>
      </c>
      <c r="AL4" s="8"/>
      <c r="AM4" s="8"/>
      <c r="AN4" s="8"/>
      <c r="AO4" s="8"/>
      <c r="AP4" s="8"/>
      <c r="AQ4" s="4" t="str">
        <f t="shared" si="0"/>
        <v/>
      </c>
      <c r="AR4" s="3" t="str">
        <f t="shared" si="1"/>
        <v/>
      </c>
      <c r="AS4" s="3" t="str">
        <f t="shared" si="2"/>
        <v/>
      </c>
      <c r="AT4" s="4" t="str">
        <f t="shared" si="3"/>
        <v/>
      </c>
      <c r="AU4" s="4" t="str">
        <f t="shared" si="4"/>
        <v/>
      </c>
      <c r="AV4" s="5" t="str">
        <f t="shared" si="5"/>
        <v/>
      </c>
      <c r="AW4" s="4" t="str">
        <f t="shared" si="6"/>
        <v/>
      </c>
      <c r="AX4" s="5" t="str">
        <f t="shared" si="7"/>
        <v/>
      </c>
      <c r="AY4" s="7" t="str">
        <f t="shared" si="8"/>
        <v/>
      </c>
      <c r="AZ4" s="8"/>
    </row>
    <row r="5" spans="1:52" x14ac:dyDescent="0.2">
      <c r="A5" s="2" t="s">
        <v>60</v>
      </c>
      <c r="B5" s="2" t="s">
        <v>53</v>
      </c>
      <c r="C5" s="2" t="s">
        <v>54</v>
      </c>
      <c r="D5" s="2" t="s">
        <v>67</v>
      </c>
      <c r="E5" s="2" t="s">
        <v>68</v>
      </c>
      <c r="F5" s="3">
        <v>3.8666666666666671</v>
      </c>
      <c r="G5" s="3">
        <v>4.6596453310403296</v>
      </c>
      <c r="H5" s="4">
        <v>0.93851018104024531</v>
      </c>
      <c r="I5" s="4">
        <v>0.8306472684147872</v>
      </c>
      <c r="J5" s="4">
        <v>0.67160580868232778</v>
      </c>
      <c r="K5" s="4">
        <v>0.49219723960020811</v>
      </c>
      <c r="L5" s="4">
        <v>0.32710332258372909</v>
      </c>
      <c r="M5" s="4">
        <v>0.1980583943743274</v>
      </c>
      <c r="N5" s="3">
        <v>1.0655185422619491</v>
      </c>
      <c r="O5" s="3">
        <v>1.2038804412231521</v>
      </c>
      <c r="P5" s="3">
        <v>1.4889686585081401</v>
      </c>
      <c r="Q5" s="3">
        <v>2.031705827550474</v>
      </c>
      <c r="R5" s="3">
        <v>3.057138007957803</v>
      </c>
      <c r="S5" s="3">
        <v>5.0490159892441371</v>
      </c>
      <c r="T5" s="3">
        <v>16.262854841945519</v>
      </c>
      <c r="U5" s="3">
        <v>5.9048353731267236</v>
      </c>
      <c r="V5" s="3">
        <v>3.0451208530441081</v>
      </c>
      <c r="W5" s="3">
        <v>1.9692685388569029</v>
      </c>
      <c r="X5" s="3">
        <v>1.486112256995697</v>
      </c>
      <c r="Y5" s="3">
        <v>1.2469735863371281</v>
      </c>
      <c r="Z5" s="4">
        <v>1.1721709870908609E-2</v>
      </c>
      <c r="AA5" s="4">
        <v>4.9768109088846102E-2</v>
      </c>
      <c r="AB5" s="4">
        <v>0.10786291262545809</v>
      </c>
      <c r="AC5" s="4">
        <v>0.15904145973245939</v>
      </c>
      <c r="AD5" s="4">
        <v>0.17940856908211969</v>
      </c>
      <c r="AE5" s="4">
        <v>0.16509391701647899</v>
      </c>
      <c r="AF5" s="4">
        <v>0.12904492820940169</v>
      </c>
      <c r="AG5" s="4">
        <v>8.8095042594901043E-2</v>
      </c>
      <c r="AH5" s="4">
        <v>5.360033025831016E-2</v>
      </c>
      <c r="AI5" s="5" t="s">
        <v>69</v>
      </c>
      <c r="AJ5" s="3">
        <v>1.318965517241379</v>
      </c>
      <c r="AK5" s="5">
        <v>448</v>
      </c>
      <c r="AL5" s="8"/>
      <c r="AM5" s="8"/>
      <c r="AN5" s="8"/>
      <c r="AO5" s="8"/>
      <c r="AP5" s="8"/>
      <c r="AQ5" s="4" t="str">
        <f t="shared" si="0"/>
        <v/>
      </c>
      <c r="AR5" s="3" t="str">
        <f t="shared" si="1"/>
        <v/>
      </c>
      <c r="AS5" s="3" t="str">
        <f t="shared" si="2"/>
        <v/>
      </c>
      <c r="AT5" s="4" t="str">
        <f t="shared" si="3"/>
        <v/>
      </c>
      <c r="AU5" s="4" t="str">
        <f t="shared" si="4"/>
        <v/>
      </c>
      <c r="AV5" s="5" t="str">
        <f t="shared" si="5"/>
        <v/>
      </c>
      <c r="AW5" s="4" t="str">
        <f t="shared" si="6"/>
        <v/>
      </c>
      <c r="AX5" s="5" t="str">
        <f t="shared" si="7"/>
        <v/>
      </c>
      <c r="AY5" s="7" t="str">
        <f t="shared" si="8"/>
        <v/>
      </c>
      <c r="AZ5" s="8"/>
    </row>
    <row r="6" spans="1:52" x14ac:dyDescent="0.2">
      <c r="A6" s="2" t="s">
        <v>60</v>
      </c>
      <c r="B6" s="2" t="s">
        <v>53</v>
      </c>
      <c r="C6" s="2" t="s">
        <v>54</v>
      </c>
      <c r="D6" s="2" t="s">
        <v>70</v>
      </c>
      <c r="E6" s="2" t="s">
        <v>71</v>
      </c>
      <c r="F6" s="3">
        <v>3.8666666666666671</v>
      </c>
      <c r="G6" s="3">
        <v>4.0662637485275308</v>
      </c>
      <c r="H6" s="4">
        <v>0.90414613071783867</v>
      </c>
      <c r="I6" s="4">
        <v>0.7594056373043313</v>
      </c>
      <c r="J6" s="4">
        <v>0.57103605775786381</v>
      </c>
      <c r="K6" s="4">
        <v>0.38348215423484672</v>
      </c>
      <c r="L6" s="4">
        <v>0.23114827326313839</v>
      </c>
      <c r="M6" s="4">
        <v>0.12605162031715089</v>
      </c>
      <c r="N6" s="3">
        <v>1.106015903873923</v>
      </c>
      <c r="O6" s="3">
        <v>1.316819300354036</v>
      </c>
      <c r="P6" s="3">
        <v>1.751202899386836</v>
      </c>
      <c r="Q6" s="3">
        <v>2.6076832753672141</v>
      </c>
      <c r="R6" s="3">
        <v>4.3262274291861296</v>
      </c>
      <c r="S6" s="3">
        <v>7.9332577993361788</v>
      </c>
      <c r="T6" s="3">
        <v>10.432547037369339</v>
      </c>
      <c r="U6" s="3">
        <v>4.1563733613530864</v>
      </c>
      <c r="V6" s="3">
        <v>2.3311982698898559</v>
      </c>
      <c r="W6" s="3">
        <v>1.6220130639672099</v>
      </c>
      <c r="X6" s="3">
        <v>1.3006408976203661</v>
      </c>
      <c r="Y6" s="3">
        <v>1.144232340544981</v>
      </c>
      <c r="Z6" s="4">
        <v>2.0190350278410409E-2</v>
      </c>
      <c r="AA6" s="4">
        <v>7.5663519003750887E-2</v>
      </c>
      <c r="AB6" s="4">
        <v>0.14474049341350739</v>
      </c>
      <c r="AC6" s="4">
        <v>0.18836957954646749</v>
      </c>
      <c r="AD6" s="4">
        <v>0.18755390352301721</v>
      </c>
      <c r="AE6" s="4">
        <v>0.1523338809717083</v>
      </c>
      <c r="AF6" s="4">
        <v>0.1050966529459874</v>
      </c>
      <c r="AG6" s="4">
        <v>6.3325980735778969E-2</v>
      </c>
      <c r="AH6" s="4">
        <v>3.4007948167189612E-2</v>
      </c>
      <c r="AI6" s="5" t="s">
        <v>72</v>
      </c>
      <c r="AJ6" s="3">
        <v>0.77586206896551724</v>
      </c>
      <c r="AK6" s="5">
        <v>316</v>
      </c>
      <c r="AL6" s="8"/>
      <c r="AM6" s="8"/>
      <c r="AN6" s="8"/>
      <c r="AO6" s="8"/>
      <c r="AP6" s="8"/>
      <c r="AQ6" s="4" t="str">
        <f t="shared" si="0"/>
        <v/>
      </c>
      <c r="AR6" s="3" t="str">
        <f t="shared" si="1"/>
        <v/>
      </c>
      <c r="AS6" s="3" t="str">
        <f t="shared" si="2"/>
        <v/>
      </c>
      <c r="AT6" s="4" t="str">
        <f t="shared" si="3"/>
        <v/>
      </c>
      <c r="AU6" s="4" t="str">
        <f t="shared" si="4"/>
        <v/>
      </c>
      <c r="AV6" s="5" t="str">
        <f t="shared" si="5"/>
        <v/>
      </c>
      <c r="AW6" s="4" t="str">
        <f t="shared" si="6"/>
        <v/>
      </c>
      <c r="AX6" s="5" t="str">
        <f t="shared" si="7"/>
        <v/>
      </c>
      <c r="AY6" s="7" t="str">
        <f t="shared" si="8"/>
        <v/>
      </c>
      <c r="AZ6" s="8"/>
    </row>
    <row r="7" spans="1:52" x14ac:dyDescent="0.2">
      <c r="A7" s="2" t="s">
        <v>60</v>
      </c>
      <c r="B7" s="2" t="s">
        <v>53</v>
      </c>
      <c r="C7" s="2" t="s">
        <v>54</v>
      </c>
      <c r="D7" s="2" t="s">
        <v>73</v>
      </c>
      <c r="E7" s="2" t="s">
        <v>74</v>
      </c>
      <c r="F7" s="3">
        <v>3.8666666666666671</v>
      </c>
      <c r="G7" s="3">
        <v>3.7265208309091071</v>
      </c>
      <c r="H7" s="4">
        <v>0.87679739992358496</v>
      </c>
      <c r="I7" s="4">
        <v>0.70816418857990526</v>
      </c>
      <c r="J7" s="4">
        <v>0.50571051673260059</v>
      </c>
      <c r="K7" s="4">
        <v>0.31975767286004197</v>
      </c>
      <c r="L7" s="4">
        <v>0.18043074806809939</v>
      </c>
      <c r="M7" s="4">
        <v>9.1758185850941865E-2</v>
      </c>
      <c r="N7" s="3">
        <v>1.140514331004121</v>
      </c>
      <c r="O7" s="3">
        <v>1.412101905358019</v>
      </c>
      <c r="P7" s="3">
        <v>1.97741586720602</v>
      </c>
      <c r="Q7" s="3">
        <v>3.1273682694009981</v>
      </c>
      <c r="R7" s="3">
        <v>5.5422926009405726</v>
      </c>
      <c r="S7" s="3">
        <v>10.898210232975471</v>
      </c>
      <c r="T7" s="3">
        <v>8.1167118176058075</v>
      </c>
      <c r="U7" s="3">
        <v>3.4265842671395461</v>
      </c>
      <c r="V7" s="3">
        <v>2.0231059608828921</v>
      </c>
      <c r="W7" s="3">
        <v>1.470064358100805</v>
      </c>
      <c r="X7" s="3">
        <v>1.220153144646148</v>
      </c>
      <c r="Y7" s="3">
        <v>1.101028365377464</v>
      </c>
      <c r="Z7" s="4">
        <v>2.7642241683536111E-2</v>
      </c>
      <c r="AA7" s="4">
        <v>9.5560358392878908E-2</v>
      </c>
      <c r="AB7" s="4">
        <v>0.16863321134367959</v>
      </c>
      <c r="AC7" s="4">
        <v>0.20245367184730481</v>
      </c>
      <c r="AD7" s="4">
        <v>0.1859528438725585</v>
      </c>
      <c r="AE7" s="4">
        <v>0.13932692479194261</v>
      </c>
      <c r="AF7" s="4">
        <v>8.8672562217157608E-2</v>
      </c>
      <c r="AG7" s="4">
        <v>4.9288332413142337E-2</v>
      </c>
      <c r="AH7" s="4">
        <v>2.4417683382813769E-2</v>
      </c>
      <c r="AI7" s="5" t="s">
        <v>75</v>
      </c>
      <c r="AJ7" s="3">
        <v>1.0086206896551719</v>
      </c>
      <c r="AK7" s="5">
        <v>163</v>
      </c>
      <c r="AL7" s="8"/>
      <c r="AM7" s="8"/>
      <c r="AN7" s="8"/>
      <c r="AO7" s="8"/>
      <c r="AP7" s="8"/>
      <c r="AQ7" s="4" t="str">
        <f t="shared" si="0"/>
        <v/>
      </c>
      <c r="AR7" s="3" t="str">
        <f t="shared" si="1"/>
        <v/>
      </c>
      <c r="AS7" s="3" t="str">
        <f t="shared" si="2"/>
        <v/>
      </c>
      <c r="AT7" s="4" t="str">
        <f t="shared" si="3"/>
        <v/>
      </c>
      <c r="AU7" s="4" t="str">
        <f t="shared" si="4"/>
        <v/>
      </c>
      <c r="AV7" s="5" t="str">
        <f t="shared" si="5"/>
        <v/>
      </c>
      <c r="AW7" s="4" t="str">
        <f t="shared" si="6"/>
        <v/>
      </c>
      <c r="AX7" s="5" t="str">
        <f t="shared" si="7"/>
        <v/>
      </c>
      <c r="AY7" s="7" t="str">
        <f t="shared" si="8"/>
        <v/>
      </c>
      <c r="AZ7" s="8"/>
    </row>
    <row r="8" spans="1:52" x14ac:dyDescent="0.2">
      <c r="A8" s="2" t="s">
        <v>76</v>
      </c>
      <c r="B8" s="2" t="s">
        <v>53</v>
      </c>
      <c r="C8" s="2" t="s">
        <v>54</v>
      </c>
      <c r="D8" s="2" t="s">
        <v>77</v>
      </c>
      <c r="E8" s="2" t="s">
        <v>78</v>
      </c>
      <c r="F8" s="3">
        <v>3.8666666666666671</v>
      </c>
      <c r="G8" s="3">
        <v>3.8743687030211489</v>
      </c>
      <c r="H8" s="4">
        <v>0.88950851055127633</v>
      </c>
      <c r="I8" s="4">
        <v>0.73146797709866584</v>
      </c>
      <c r="J8" s="4">
        <v>0.53476804469472827</v>
      </c>
      <c r="K8" s="4">
        <v>0.34746943491230958</v>
      </c>
      <c r="L8" s="4">
        <v>0.201983852445453</v>
      </c>
      <c r="M8" s="4">
        <v>0.10599355449409011</v>
      </c>
      <c r="N8" s="3">
        <v>1.124216337604512</v>
      </c>
      <c r="O8" s="3">
        <v>1.3671138468241</v>
      </c>
      <c r="P8" s="3">
        <v>1.869969625000403</v>
      </c>
      <c r="Q8" s="3">
        <v>2.8779509779108161</v>
      </c>
      <c r="R8" s="3">
        <v>4.9508908157401148</v>
      </c>
      <c r="S8" s="3">
        <v>9.4345359467660579</v>
      </c>
      <c r="T8" s="3">
        <v>9.0504708099176714</v>
      </c>
      <c r="U8" s="3">
        <v>3.7239506454223781</v>
      </c>
      <c r="V8" s="3">
        <v>2.1494654195536271</v>
      </c>
      <c r="W8" s="3">
        <v>1.5324952630619151</v>
      </c>
      <c r="X8" s="3">
        <v>1.2531074754118889</v>
      </c>
      <c r="Y8" s="3">
        <v>1.11856016813627</v>
      </c>
      <c r="Z8" s="4">
        <v>2.4104175649543869E-2</v>
      </c>
      <c r="AA8" s="4">
        <v>8.6387313799179771E-2</v>
      </c>
      <c r="AB8" s="4">
        <v>0.15804053345261049</v>
      </c>
      <c r="AC8" s="4">
        <v>0.1966999324039376</v>
      </c>
      <c r="AD8" s="4">
        <v>0.18729860978241869</v>
      </c>
      <c r="AE8" s="4">
        <v>0.14548558246685661</v>
      </c>
      <c r="AF8" s="4">
        <v>9.5990297951362921E-2</v>
      </c>
      <c r="AG8" s="4">
        <v>5.531404048224E-2</v>
      </c>
      <c r="AH8" s="4">
        <v>2.8408538578859711E-2</v>
      </c>
      <c r="AI8" s="5" t="s">
        <v>79</v>
      </c>
      <c r="AJ8" s="3">
        <v>0.95689655172413801</v>
      </c>
      <c r="AK8" s="5">
        <v>536</v>
      </c>
      <c r="AL8" s="8"/>
      <c r="AM8" s="8"/>
      <c r="AN8" s="8"/>
      <c r="AO8" s="8"/>
      <c r="AP8" s="8"/>
      <c r="AQ8" s="4" t="str">
        <f t="shared" si="0"/>
        <v/>
      </c>
      <c r="AR8" s="3" t="str">
        <f t="shared" si="1"/>
        <v/>
      </c>
      <c r="AS8" s="3" t="str">
        <f t="shared" si="2"/>
        <v/>
      </c>
      <c r="AT8" s="4" t="str">
        <f t="shared" si="3"/>
        <v/>
      </c>
      <c r="AU8" s="4" t="str">
        <f t="shared" si="4"/>
        <v/>
      </c>
      <c r="AV8" s="5" t="str">
        <f t="shared" si="5"/>
        <v/>
      </c>
      <c r="AW8" s="4" t="str">
        <f t="shared" si="6"/>
        <v/>
      </c>
      <c r="AX8" s="5" t="str">
        <f t="shared" si="7"/>
        <v/>
      </c>
      <c r="AY8" s="7" t="str">
        <f t="shared" si="8"/>
        <v/>
      </c>
      <c r="AZ8" s="8"/>
    </row>
    <row r="9" spans="1:52" x14ac:dyDescent="0.2">
      <c r="A9" s="2" t="s">
        <v>76</v>
      </c>
      <c r="B9" s="2" t="s">
        <v>53</v>
      </c>
      <c r="C9" s="2" t="s">
        <v>54</v>
      </c>
      <c r="D9" s="2" t="s">
        <v>80</v>
      </c>
      <c r="E9" s="2" t="s">
        <v>81</v>
      </c>
      <c r="F9" s="3">
        <v>3.8666666666666671</v>
      </c>
      <c r="G9" s="3">
        <v>3.4268997517712378</v>
      </c>
      <c r="H9" s="4">
        <v>0.84666237340258887</v>
      </c>
      <c r="I9" s="4">
        <v>0.65599779975950512</v>
      </c>
      <c r="J9" s="4">
        <v>0.444267576432823</v>
      </c>
      <c r="K9" s="4">
        <v>0.26438449272225639</v>
      </c>
      <c r="L9" s="4">
        <v>0.13971710696583289</v>
      </c>
      <c r="M9" s="4">
        <v>6.6327027095179458E-2</v>
      </c>
      <c r="N9" s="3">
        <v>1.181108351350461</v>
      </c>
      <c r="O9" s="3">
        <v>1.5243953567627959</v>
      </c>
      <c r="P9" s="3">
        <v>2.250895750775566</v>
      </c>
      <c r="Q9" s="3">
        <v>3.782370099333054</v>
      </c>
      <c r="R9" s="3">
        <v>7.1573196848725509</v>
      </c>
      <c r="S9" s="3">
        <v>15.07681022043996</v>
      </c>
      <c r="T9" s="3">
        <v>6.5215565297975173</v>
      </c>
      <c r="U9" s="3">
        <v>2.906958151142323</v>
      </c>
      <c r="V9" s="3">
        <v>1.799427130022619</v>
      </c>
      <c r="W9" s="3">
        <v>1.359405817450275</v>
      </c>
      <c r="X9" s="3">
        <v>1.162408328815024</v>
      </c>
      <c r="Y9" s="3">
        <v>1.071038820893385</v>
      </c>
      <c r="Z9" s="4">
        <v>3.6529148818133662E-2</v>
      </c>
      <c r="AA9" s="4">
        <v>0.1168084777792774</v>
      </c>
      <c r="AB9" s="4">
        <v>0.19066457364308381</v>
      </c>
      <c r="AC9" s="4">
        <v>0.2117302233266822</v>
      </c>
      <c r="AD9" s="4">
        <v>0.1798830837105666</v>
      </c>
      <c r="AE9" s="4">
        <v>0.1246673857564234</v>
      </c>
      <c r="AF9" s="4">
        <v>7.3390079870653463E-2</v>
      </c>
      <c r="AG9" s="4">
        <v>3.7733103693367943E-2</v>
      </c>
      <c r="AH9" s="4">
        <v>1.7290723421557321E-2</v>
      </c>
      <c r="AI9" s="5" t="s">
        <v>82</v>
      </c>
      <c r="AJ9" s="3">
        <v>0.75</v>
      </c>
      <c r="AK9" s="5">
        <v>110</v>
      </c>
      <c r="AL9" s="8"/>
      <c r="AM9" s="8"/>
      <c r="AN9" s="8"/>
      <c r="AO9" s="8"/>
      <c r="AP9" s="8"/>
      <c r="AQ9" s="4" t="str">
        <f t="shared" si="0"/>
        <v/>
      </c>
      <c r="AR9" s="3" t="str">
        <f t="shared" si="1"/>
        <v/>
      </c>
      <c r="AS9" s="3" t="str">
        <f t="shared" si="2"/>
        <v/>
      </c>
      <c r="AT9" s="4" t="str">
        <f t="shared" si="3"/>
        <v/>
      </c>
      <c r="AU9" s="4" t="str">
        <f t="shared" si="4"/>
        <v/>
      </c>
      <c r="AV9" s="5" t="str">
        <f t="shared" si="5"/>
        <v/>
      </c>
      <c r="AW9" s="4" t="str">
        <f t="shared" si="6"/>
        <v/>
      </c>
      <c r="AX9" s="5" t="str">
        <f t="shared" si="7"/>
        <v/>
      </c>
      <c r="AY9" s="7" t="str">
        <f t="shared" si="8"/>
        <v/>
      </c>
      <c r="AZ9" s="8"/>
    </row>
    <row r="10" spans="1:52" x14ac:dyDescent="0.2">
      <c r="A10" s="2" t="s">
        <v>76</v>
      </c>
      <c r="B10" s="2" t="s">
        <v>53</v>
      </c>
      <c r="C10" s="2" t="s">
        <v>54</v>
      </c>
      <c r="D10" s="2" t="s">
        <v>83</v>
      </c>
      <c r="E10" s="2" t="s">
        <v>84</v>
      </c>
      <c r="F10" s="3">
        <v>3.8666666666666671</v>
      </c>
      <c r="G10" s="3">
        <v>4.180203555723347</v>
      </c>
      <c r="H10" s="4">
        <v>0.91193564534416294</v>
      </c>
      <c r="I10" s="4">
        <v>0.77480528818947669</v>
      </c>
      <c r="J10" s="4">
        <v>0.59174113582857946</v>
      </c>
      <c r="K10" s="4">
        <v>0.40477298601408718</v>
      </c>
      <c r="L10" s="4">
        <v>0.24900184113901741</v>
      </c>
      <c r="M10" s="4">
        <v>0.13876459065275909</v>
      </c>
      <c r="N10" s="3">
        <v>1.0965686066834259</v>
      </c>
      <c r="O10" s="3">
        <v>1.2906468441080809</v>
      </c>
      <c r="P10" s="3">
        <v>1.6899281450152359</v>
      </c>
      <c r="Q10" s="3">
        <v>2.470520599329713</v>
      </c>
      <c r="R10" s="3">
        <v>4.0160345619360358</v>
      </c>
      <c r="S10" s="3">
        <v>7.2064493924273059</v>
      </c>
      <c r="T10" s="3">
        <v>11.355332176203239</v>
      </c>
      <c r="U10" s="3">
        <v>4.4406016107580291</v>
      </c>
      <c r="V10" s="3">
        <v>2.449426302180957</v>
      </c>
      <c r="W10" s="3">
        <v>1.6800312763084151</v>
      </c>
      <c r="X10" s="3">
        <v>1.3315611872027371</v>
      </c>
      <c r="Y10" s="3">
        <v>1.1611227187673729</v>
      </c>
      <c r="Z10" s="4">
        <v>1.8179814488530951E-2</v>
      </c>
      <c r="AA10" s="4">
        <v>6.9884540167306136E-2</v>
      </c>
      <c r="AB10" s="4">
        <v>0.13713035715468619</v>
      </c>
      <c r="AC10" s="4">
        <v>0.18306415236089729</v>
      </c>
      <c r="AD10" s="4">
        <v>0.18696814981449231</v>
      </c>
      <c r="AE10" s="4">
        <v>0.15577114487506979</v>
      </c>
      <c r="AF10" s="4">
        <v>0.1102372504862582</v>
      </c>
      <c r="AG10" s="4">
        <v>6.8135021027642351E-2</v>
      </c>
      <c r="AH10" s="4">
        <v>3.7533397834958272E-2</v>
      </c>
      <c r="AI10" s="5" t="s">
        <v>85</v>
      </c>
      <c r="AJ10" s="3">
        <v>1.1896551724137929</v>
      </c>
      <c r="AK10" s="5">
        <v>269</v>
      </c>
      <c r="AL10" s="8"/>
      <c r="AM10" s="8"/>
      <c r="AN10" s="8"/>
      <c r="AO10" s="8"/>
      <c r="AP10" s="8"/>
      <c r="AQ10" s="4" t="str">
        <f t="shared" si="0"/>
        <v/>
      </c>
      <c r="AR10" s="3" t="str">
        <f t="shared" si="1"/>
        <v/>
      </c>
      <c r="AS10" s="3" t="str">
        <f t="shared" si="2"/>
        <v/>
      </c>
      <c r="AT10" s="4" t="str">
        <f t="shared" si="3"/>
        <v/>
      </c>
      <c r="AU10" s="4" t="str">
        <f t="shared" si="4"/>
        <v/>
      </c>
      <c r="AV10" s="5" t="str">
        <f t="shared" si="5"/>
        <v/>
      </c>
      <c r="AW10" s="4" t="str">
        <f t="shared" si="6"/>
        <v/>
      </c>
      <c r="AX10" s="5" t="str">
        <f t="shared" si="7"/>
        <v/>
      </c>
      <c r="AY10" s="7" t="str">
        <f t="shared" si="8"/>
        <v/>
      </c>
      <c r="AZ10" s="8"/>
    </row>
    <row r="11" spans="1:52" x14ac:dyDescent="0.2">
      <c r="A11" s="2" t="s">
        <v>76</v>
      </c>
      <c r="B11" s="2" t="s">
        <v>53</v>
      </c>
      <c r="C11" s="2" t="s">
        <v>54</v>
      </c>
      <c r="D11" s="2" t="s">
        <v>86</v>
      </c>
      <c r="E11" s="2" t="s">
        <v>87</v>
      </c>
      <c r="F11" s="3">
        <v>3.8666666666666671</v>
      </c>
      <c r="G11" s="3">
        <v>3.6044524347624729</v>
      </c>
      <c r="H11" s="4">
        <v>0.86526685154167371</v>
      </c>
      <c r="I11" s="4">
        <v>0.68772004430660039</v>
      </c>
      <c r="J11" s="4">
        <v>0.48105780857217512</v>
      </c>
      <c r="K11" s="4">
        <v>0.29702129414471917</v>
      </c>
      <c r="L11" s="4">
        <v>0.1633303669346301</v>
      </c>
      <c r="M11" s="4">
        <v>8.0836464130610519E-2</v>
      </c>
      <c r="N11" s="3">
        <v>1.1557128280348059</v>
      </c>
      <c r="O11" s="3">
        <v>1.4540800552181941</v>
      </c>
      <c r="P11" s="3">
        <v>2.0787522459475181</v>
      </c>
      <c r="Q11" s="3">
        <v>3.366761978731279</v>
      </c>
      <c r="R11" s="3">
        <v>6.1225601752320262</v>
      </c>
      <c r="S11" s="3">
        <v>12.370654886441621</v>
      </c>
      <c r="T11" s="3">
        <v>7.4220784672697349</v>
      </c>
      <c r="U11" s="3">
        <v>3.202254841427647</v>
      </c>
      <c r="V11" s="3">
        <v>1.926996911252457</v>
      </c>
      <c r="W11" s="3">
        <v>1.4225181953176631</v>
      </c>
      <c r="X11" s="3">
        <v>1.195214885875832</v>
      </c>
      <c r="Y11" s="3">
        <v>1.087945682107756</v>
      </c>
      <c r="Z11" s="4">
        <v>3.096075893759306E-2</v>
      </c>
      <c r="AA11" s="4">
        <v>0.1037723895207333</v>
      </c>
      <c r="AB11" s="4">
        <v>0.1775468072350733</v>
      </c>
      <c r="AC11" s="4">
        <v>0.2066622357344253</v>
      </c>
      <c r="AD11" s="4">
        <v>0.18403651442745581</v>
      </c>
      <c r="AE11" s="4">
        <v>0.13369092721008921</v>
      </c>
      <c r="AF11" s="4">
        <v>8.2493902804019553E-2</v>
      </c>
      <c r="AG11" s="4">
        <v>4.4457232793589221E-2</v>
      </c>
      <c r="AH11" s="4">
        <v>2.1353470496201812E-2</v>
      </c>
      <c r="AI11" s="5" t="s">
        <v>88</v>
      </c>
      <c r="AJ11" s="3">
        <v>0.87931034482758619</v>
      </c>
      <c r="AK11" s="5">
        <v>311</v>
      </c>
      <c r="AL11" s="8"/>
      <c r="AM11" s="8"/>
      <c r="AN11" s="8"/>
      <c r="AO11" s="8"/>
      <c r="AP11" s="8"/>
      <c r="AQ11" s="4" t="str">
        <f t="shared" si="0"/>
        <v/>
      </c>
      <c r="AR11" s="3" t="str">
        <f t="shared" si="1"/>
        <v/>
      </c>
      <c r="AS11" s="3" t="str">
        <f t="shared" si="2"/>
        <v/>
      </c>
      <c r="AT11" s="4" t="str">
        <f t="shared" si="3"/>
        <v/>
      </c>
      <c r="AU11" s="4" t="str">
        <f t="shared" si="4"/>
        <v/>
      </c>
      <c r="AV11" s="5" t="str">
        <f t="shared" si="5"/>
        <v/>
      </c>
      <c r="AW11" s="4" t="str">
        <f t="shared" si="6"/>
        <v/>
      </c>
      <c r="AX11" s="5" t="str">
        <f t="shared" si="7"/>
        <v/>
      </c>
      <c r="AY11" s="7" t="str">
        <f t="shared" si="8"/>
        <v/>
      </c>
      <c r="AZ11" s="8"/>
    </row>
    <row r="12" spans="1:52" x14ac:dyDescent="0.2">
      <c r="A12" s="2" t="s">
        <v>52</v>
      </c>
      <c r="B12" s="2" t="s">
        <v>89</v>
      </c>
      <c r="C12" s="2" t="s">
        <v>90</v>
      </c>
      <c r="D12" s="2" t="s">
        <v>91</v>
      </c>
      <c r="E12" s="2" t="s">
        <v>92</v>
      </c>
      <c r="F12" s="3">
        <v>3.681159420289855</v>
      </c>
      <c r="G12" s="3">
        <v>4.2118375279258924</v>
      </c>
      <c r="H12" s="4">
        <v>0.91398769851072426</v>
      </c>
      <c r="I12" s="4">
        <v>0.77892865307306158</v>
      </c>
      <c r="J12" s="4">
        <v>0.59737567967310878</v>
      </c>
      <c r="K12" s="4">
        <v>0.41066133894253692</v>
      </c>
      <c r="L12" s="4">
        <v>0.25401976252052999</v>
      </c>
      <c r="M12" s="4">
        <v>0.14239555359110151</v>
      </c>
      <c r="N12" s="3">
        <v>1.0941066292570749</v>
      </c>
      <c r="O12" s="3">
        <v>1.2838146293049539</v>
      </c>
      <c r="P12" s="3">
        <v>1.6739884699477761</v>
      </c>
      <c r="Q12" s="3">
        <v>2.4350965264347129</v>
      </c>
      <c r="R12" s="3">
        <v>3.9367015781663031</v>
      </c>
      <c r="S12" s="3">
        <v>7.0226911921110133</v>
      </c>
      <c r="T12" s="3">
        <v>11.626243952147741</v>
      </c>
      <c r="U12" s="3">
        <v>4.5234265493957873</v>
      </c>
      <c r="V12" s="3">
        <v>2.4837049068175978</v>
      </c>
      <c r="W12" s="3">
        <v>1.6968172395234999</v>
      </c>
      <c r="X12" s="3">
        <v>1.34051808581259</v>
      </c>
      <c r="Y12" s="3">
        <v>1.166038730544557</v>
      </c>
      <c r="Z12" s="4">
        <v>1.7658732984561241E-2</v>
      </c>
      <c r="AA12" s="4">
        <v>6.8353568504714565E-2</v>
      </c>
      <c r="AB12" s="4">
        <v>0.13505904543766259</v>
      </c>
      <c r="AC12" s="4">
        <v>0.1815529733999528</v>
      </c>
      <c r="AD12" s="4">
        <v>0.18671434073057189</v>
      </c>
      <c r="AE12" s="4">
        <v>0.1566415764220068</v>
      </c>
      <c r="AF12" s="4">
        <v>0.11162420892942861</v>
      </c>
      <c r="AG12" s="4">
        <v>6.9472096326007579E-2</v>
      </c>
      <c r="AH12" s="4">
        <v>3.8536110619403437E-2</v>
      </c>
      <c r="AI12" s="5" t="s">
        <v>93</v>
      </c>
      <c r="AJ12" s="3"/>
      <c r="AK12" s="5"/>
      <c r="AL12" s="8"/>
      <c r="AM12" s="8"/>
      <c r="AN12" s="8"/>
      <c r="AO12" s="8"/>
      <c r="AP12" s="8"/>
      <c r="AQ12" s="4" t="str">
        <f t="shared" si="0"/>
        <v/>
      </c>
      <c r="AR12" s="3" t="str">
        <f t="shared" si="1"/>
        <v/>
      </c>
      <c r="AS12" s="3" t="str">
        <f t="shared" si="2"/>
        <v/>
      </c>
      <c r="AT12" s="4" t="str">
        <f t="shared" si="3"/>
        <v/>
      </c>
      <c r="AU12" s="4" t="str">
        <f t="shared" si="4"/>
        <v/>
      </c>
      <c r="AV12" s="5" t="str">
        <f t="shared" si="5"/>
        <v/>
      </c>
      <c r="AW12" s="4" t="str">
        <f t="shared" si="6"/>
        <v/>
      </c>
      <c r="AX12" s="5" t="str">
        <f t="shared" si="7"/>
        <v/>
      </c>
      <c r="AY12" s="7" t="str">
        <f t="shared" si="8"/>
        <v/>
      </c>
      <c r="AZ12" s="8"/>
    </row>
    <row r="13" spans="1:52" x14ac:dyDescent="0.2">
      <c r="A13" s="2" t="s">
        <v>60</v>
      </c>
      <c r="B13" s="2" t="s">
        <v>89</v>
      </c>
      <c r="C13" s="2" t="s">
        <v>90</v>
      </c>
      <c r="D13" s="2" t="s">
        <v>94</v>
      </c>
      <c r="E13" s="2" t="s">
        <v>95</v>
      </c>
      <c r="F13" s="3">
        <v>3.681159420289855</v>
      </c>
      <c r="G13" s="3">
        <v>3.5607678077209299</v>
      </c>
      <c r="H13" s="4">
        <v>0.86089768344424145</v>
      </c>
      <c r="I13" s="4">
        <v>0.68013478645262782</v>
      </c>
      <c r="J13" s="4">
        <v>0.47210233209194202</v>
      </c>
      <c r="K13" s="4">
        <v>0.28893521403091399</v>
      </c>
      <c r="L13" s="4">
        <v>0.15737669018563791</v>
      </c>
      <c r="M13" s="4">
        <v>7.7114233113226516E-2</v>
      </c>
      <c r="N13" s="3">
        <v>1.1615782214667421</v>
      </c>
      <c r="O13" s="3">
        <v>1.4702967998676999</v>
      </c>
      <c r="P13" s="3">
        <v>2.1181848341415308</v>
      </c>
      <c r="Q13" s="3">
        <v>3.460983471170139</v>
      </c>
      <c r="R13" s="3">
        <v>6.3541811612661503</v>
      </c>
      <c r="S13" s="3">
        <v>12.967774684755071</v>
      </c>
      <c r="T13" s="3">
        <v>7.1889528856203802</v>
      </c>
      <c r="U13" s="3">
        <v>3.1263168286097471</v>
      </c>
      <c r="V13" s="3">
        <v>1.89430653096608</v>
      </c>
      <c r="W13" s="3">
        <v>1.4063416157462141</v>
      </c>
      <c r="X13" s="3">
        <v>1.1867699223990249</v>
      </c>
      <c r="Y13" s="3">
        <v>1.0835577228299449</v>
      </c>
      <c r="Z13" s="4">
        <v>3.2244892762903432E-2</v>
      </c>
      <c r="AA13" s="4">
        <v>0.10685742379285509</v>
      </c>
      <c r="AB13" s="4">
        <v>0.1807628969916136</v>
      </c>
      <c r="AC13" s="4">
        <v>0.20803245436068579</v>
      </c>
      <c r="AD13" s="4">
        <v>0.18316711806102801</v>
      </c>
      <c r="AE13" s="4">
        <v>0.13155852384527611</v>
      </c>
      <c r="AF13" s="4">
        <v>8.0262457072411406E-2</v>
      </c>
      <c r="AG13" s="4">
        <v>4.2766781754751383E-2</v>
      </c>
      <c r="AH13" s="4">
        <v>2.0309823829233211E-2</v>
      </c>
      <c r="AI13" s="5" t="s">
        <v>93</v>
      </c>
      <c r="AJ13" s="3"/>
      <c r="AK13" s="5"/>
      <c r="AL13" s="8"/>
      <c r="AM13" s="8"/>
      <c r="AN13" s="8"/>
      <c r="AO13" s="8"/>
      <c r="AP13" s="8"/>
      <c r="AQ13" s="4" t="str">
        <f t="shared" si="0"/>
        <v/>
      </c>
      <c r="AR13" s="3" t="str">
        <f t="shared" si="1"/>
        <v/>
      </c>
      <c r="AS13" s="3" t="str">
        <f t="shared" si="2"/>
        <v/>
      </c>
      <c r="AT13" s="4" t="str">
        <f t="shared" si="3"/>
        <v/>
      </c>
      <c r="AU13" s="4" t="str">
        <f t="shared" si="4"/>
        <v/>
      </c>
      <c r="AV13" s="5" t="str">
        <f t="shared" si="5"/>
        <v/>
      </c>
      <c r="AW13" s="4" t="str">
        <f t="shared" si="6"/>
        <v/>
      </c>
      <c r="AX13" s="5" t="str">
        <f t="shared" si="7"/>
        <v/>
      </c>
      <c r="AY13" s="7" t="str">
        <f t="shared" si="8"/>
        <v/>
      </c>
      <c r="AZ13" s="8"/>
    </row>
    <row r="14" spans="1:52" x14ac:dyDescent="0.2">
      <c r="A14" s="2" t="s">
        <v>60</v>
      </c>
      <c r="B14" s="2" t="s">
        <v>89</v>
      </c>
      <c r="C14" s="2" t="s">
        <v>90</v>
      </c>
      <c r="D14" s="2" t="s">
        <v>96</v>
      </c>
      <c r="E14" s="2" t="s">
        <v>97</v>
      </c>
      <c r="F14" s="3">
        <v>3.681159420289855</v>
      </c>
      <c r="G14" s="3">
        <v>3.649050303202896</v>
      </c>
      <c r="H14" s="4">
        <v>0.86959329790231021</v>
      </c>
      <c r="I14" s="4">
        <v>0.6953171445260562</v>
      </c>
      <c r="J14" s="4">
        <v>0.49012997925743451</v>
      </c>
      <c r="K14" s="4">
        <v>0.30530654446203193</v>
      </c>
      <c r="L14" s="4">
        <v>0.16950054923914931</v>
      </c>
      <c r="M14" s="4">
        <v>8.4738230761364219E-2</v>
      </c>
      <c r="N14" s="3">
        <v>1.149962864723389</v>
      </c>
      <c r="O14" s="3">
        <v>1.438192640398106</v>
      </c>
      <c r="P14" s="3">
        <v>2.0402751154194601</v>
      </c>
      <c r="Q14" s="3">
        <v>3.2753965420625319</v>
      </c>
      <c r="R14" s="3">
        <v>5.8996858977081814</v>
      </c>
      <c r="S14" s="3">
        <v>11.80104884200559</v>
      </c>
      <c r="T14" s="3">
        <v>7.6683175321072357</v>
      </c>
      <c r="U14" s="3">
        <v>3.2821013130012471</v>
      </c>
      <c r="V14" s="3">
        <v>1.961284169137103</v>
      </c>
      <c r="W14" s="3">
        <v>1.439483835680593</v>
      </c>
      <c r="X14" s="3">
        <v>1.204094715636312</v>
      </c>
      <c r="Y14" s="3">
        <v>1.092583601336101</v>
      </c>
      <c r="Z14" s="4">
        <v>2.9703577413401318E-2</v>
      </c>
      <c r="AA14" s="4">
        <v>0.10070312468428851</v>
      </c>
      <c r="AB14" s="4">
        <v>0.17427615337625399</v>
      </c>
      <c r="AC14" s="4">
        <v>0.20518716526862171</v>
      </c>
      <c r="AD14" s="4">
        <v>0.1848234347954027</v>
      </c>
      <c r="AE14" s="4">
        <v>0.13580599522288259</v>
      </c>
      <c r="AF14" s="4">
        <v>8.4762318477785051E-2</v>
      </c>
      <c r="AG14" s="4">
        <v>4.6204829611458748E-2</v>
      </c>
      <c r="AH14" s="4">
        <v>2.2447986109501269E-2</v>
      </c>
      <c r="AI14" s="5" t="s">
        <v>93</v>
      </c>
      <c r="AJ14" s="3"/>
      <c r="AK14" s="5"/>
      <c r="AL14" s="8"/>
      <c r="AM14" s="8"/>
      <c r="AN14" s="8"/>
      <c r="AO14" s="8"/>
      <c r="AP14" s="8"/>
      <c r="AQ14" s="4" t="str">
        <f t="shared" si="0"/>
        <v/>
      </c>
      <c r="AR14" s="3" t="str">
        <f t="shared" si="1"/>
        <v/>
      </c>
      <c r="AS14" s="3" t="str">
        <f t="shared" si="2"/>
        <v/>
      </c>
      <c r="AT14" s="4" t="str">
        <f t="shared" si="3"/>
        <v/>
      </c>
      <c r="AU14" s="4" t="str">
        <f t="shared" si="4"/>
        <v/>
      </c>
      <c r="AV14" s="5" t="str">
        <f t="shared" si="5"/>
        <v/>
      </c>
      <c r="AW14" s="4" t="str">
        <f t="shared" si="6"/>
        <v/>
      </c>
      <c r="AX14" s="5" t="str">
        <f t="shared" si="7"/>
        <v/>
      </c>
      <c r="AY14" s="7" t="str">
        <f t="shared" si="8"/>
        <v/>
      </c>
      <c r="AZ14" s="8"/>
    </row>
    <row r="15" spans="1:52" x14ac:dyDescent="0.2">
      <c r="A15" s="2" t="s">
        <v>60</v>
      </c>
      <c r="B15" s="2" t="s">
        <v>89</v>
      </c>
      <c r="C15" s="2" t="s">
        <v>90</v>
      </c>
      <c r="D15" s="2" t="s">
        <v>98</v>
      </c>
      <c r="E15" s="2" t="s">
        <v>99</v>
      </c>
      <c r="F15" s="3">
        <v>3.681159420289855</v>
      </c>
      <c r="G15" s="3">
        <v>4.1486119619533977</v>
      </c>
      <c r="H15" s="4">
        <v>0.90983923901608688</v>
      </c>
      <c r="I15" s="4">
        <v>0.77062199470016624</v>
      </c>
      <c r="J15" s="4">
        <v>0.58606431657621094</v>
      </c>
      <c r="K15" s="4">
        <v>0.39888156719655232</v>
      </c>
      <c r="L15" s="4">
        <v>0.24401610026306839</v>
      </c>
      <c r="M15" s="4">
        <v>0.13518191513842889</v>
      </c>
      <c r="N15" s="3">
        <v>1.0990952655343971</v>
      </c>
      <c r="O15" s="3">
        <v>1.2976530735916509</v>
      </c>
      <c r="P15" s="3">
        <v>1.706297366545027</v>
      </c>
      <c r="Q15" s="3">
        <v>2.5070098050112239</v>
      </c>
      <c r="R15" s="3">
        <v>4.0980902445450198</v>
      </c>
      <c r="S15" s="3">
        <v>7.397439213492282</v>
      </c>
      <c r="T15" s="3">
        <v>11.091299464280519</v>
      </c>
      <c r="U15" s="3">
        <v>4.3596159042923057</v>
      </c>
      <c r="V15" s="3">
        <v>2.4158342468295881</v>
      </c>
      <c r="W15" s="3">
        <v>1.663565689270716</v>
      </c>
      <c r="X15" s="3">
        <v>1.3227794935156441</v>
      </c>
      <c r="Y15" s="3">
        <v>1.156312544227226</v>
      </c>
      <c r="Z15" s="4">
        <v>1.871587377221804E-2</v>
      </c>
      <c r="AA15" s="4">
        <v>7.1444887211695049E-2</v>
      </c>
      <c r="AB15" s="4">
        <v>0.1392172443159207</v>
      </c>
      <c r="AC15" s="4">
        <v>0.18455767812395529</v>
      </c>
      <c r="AD15" s="4">
        <v>0.18718274937965851</v>
      </c>
      <c r="AE15" s="4">
        <v>0.15486546693348391</v>
      </c>
      <c r="AF15" s="4">
        <v>0.10883418512463949</v>
      </c>
      <c r="AG15" s="4">
        <v>6.6800041829585072E-2</v>
      </c>
      <c r="AH15" s="4">
        <v>3.6542108697978283E-2</v>
      </c>
      <c r="AI15" s="5" t="s">
        <v>93</v>
      </c>
      <c r="AJ15" s="3"/>
      <c r="AK15" s="5"/>
      <c r="AL15" s="8"/>
      <c r="AM15" s="8"/>
      <c r="AN15" s="8"/>
      <c r="AO15" s="8"/>
      <c r="AP15" s="8"/>
      <c r="AQ15" s="4" t="str">
        <f t="shared" si="0"/>
        <v/>
      </c>
      <c r="AR15" s="3" t="str">
        <f t="shared" si="1"/>
        <v/>
      </c>
      <c r="AS15" s="3" t="str">
        <f t="shared" si="2"/>
        <v/>
      </c>
      <c r="AT15" s="4" t="str">
        <f t="shared" si="3"/>
        <v/>
      </c>
      <c r="AU15" s="4" t="str">
        <f t="shared" si="4"/>
        <v/>
      </c>
      <c r="AV15" s="5" t="str">
        <f t="shared" si="5"/>
        <v/>
      </c>
      <c r="AW15" s="4" t="str">
        <f t="shared" si="6"/>
        <v/>
      </c>
      <c r="AX15" s="5" t="str">
        <f t="shared" si="7"/>
        <v/>
      </c>
      <c r="AY15" s="7" t="str">
        <f t="shared" si="8"/>
        <v/>
      </c>
      <c r="AZ15" s="8"/>
    </row>
    <row r="16" spans="1:52" x14ac:dyDescent="0.2">
      <c r="A16" s="2" t="s">
        <v>60</v>
      </c>
      <c r="B16" s="2" t="s">
        <v>89</v>
      </c>
      <c r="C16" s="2" t="s">
        <v>90</v>
      </c>
      <c r="D16" s="2" t="s">
        <v>100</v>
      </c>
      <c r="E16" s="2" t="s">
        <v>101</v>
      </c>
      <c r="F16" s="3">
        <v>3.681159420289855</v>
      </c>
      <c r="G16" s="3">
        <v>3.7027878232813189</v>
      </c>
      <c r="H16" s="4">
        <v>0.87463157641144895</v>
      </c>
      <c r="I16" s="4">
        <v>0.70427545589556417</v>
      </c>
      <c r="J16" s="4">
        <v>0.50096223493251668</v>
      </c>
      <c r="K16" s="4">
        <v>0.31532370552751388</v>
      </c>
      <c r="L16" s="4">
        <v>0.17705443292172379</v>
      </c>
      <c r="M16" s="4">
        <v>8.957514963087343E-2</v>
      </c>
      <c r="N16" s="3">
        <v>1.1433385518768131</v>
      </c>
      <c r="O16" s="3">
        <v>1.41989897791964</v>
      </c>
      <c r="P16" s="3">
        <v>1.996158453210964</v>
      </c>
      <c r="Q16" s="3">
        <v>3.1713441852621642</v>
      </c>
      <c r="R16" s="3">
        <v>5.647980587089295</v>
      </c>
      <c r="S16" s="3">
        <v>11.1638105447868</v>
      </c>
      <c r="T16" s="3">
        <v>7.9764901829021841</v>
      </c>
      <c r="U16" s="3">
        <v>3.38152520626373</v>
      </c>
      <c r="V16" s="3">
        <v>2.0038563611809481</v>
      </c>
      <c r="W16" s="3">
        <v>1.460544213481872</v>
      </c>
      <c r="X16" s="3">
        <v>1.215147198070857</v>
      </c>
      <c r="Y16" s="3">
        <v>1.098388295963753</v>
      </c>
      <c r="Z16" s="4">
        <v>2.825772711824023E-2</v>
      </c>
      <c r="AA16" s="4">
        <v>9.7110696470310814E-2</v>
      </c>
      <c r="AB16" s="4">
        <v>0.1703561205158847</v>
      </c>
      <c r="AC16" s="4">
        <v>0.20331322096304749</v>
      </c>
      <c r="AD16" s="4">
        <v>0.18563852940500281</v>
      </c>
      <c r="AE16" s="4">
        <v>0.13826927260579011</v>
      </c>
      <c r="AF16" s="4">
        <v>8.7479283290850418E-2</v>
      </c>
      <c r="AG16" s="4">
        <v>4.8337636919391289E-2</v>
      </c>
      <c r="AH16" s="4">
        <v>2.3805158663682349E-2</v>
      </c>
      <c r="AI16" s="5" t="s">
        <v>93</v>
      </c>
      <c r="AJ16" s="3"/>
      <c r="AK16" s="5"/>
      <c r="AL16" s="8"/>
      <c r="AM16" s="8"/>
      <c r="AN16" s="8"/>
      <c r="AO16" s="8"/>
      <c r="AP16" s="8"/>
      <c r="AQ16" s="4" t="str">
        <f t="shared" si="0"/>
        <v/>
      </c>
      <c r="AR16" s="3" t="str">
        <f t="shared" si="1"/>
        <v/>
      </c>
      <c r="AS16" s="3" t="str">
        <f t="shared" si="2"/>
        <v/>
      </c>
      <c r="AT16" s="4" t="str">
        <f t="shared" si="3"/>
        <v/>
      </c>
      <c r="AU16" s="4" t="str">
        <f t="shared" si="4"/>
        <v/>
      </c>
      <c r="AV16" s="5" t="str">
        <f t="shared" si="5"/>
        <v/>
      </c>
      <c r="AW16" s="4" t="str">
        <f t="shared" si="6"/>
        <v/>
      </c>
      <c r="AX16" s="5" t="str">
        <f t="shared" si="7"/>
        <v/>
      </c>
      <c r="AY16" s="7" t="str">
        <f t="shared" si="8"/>
        <v/>
      </c>
      <c r="AZ16" s="8"/>
    </row>
    <row r="17" spans="1:52" x14ac:dyDescent="0.2">
      <c r="A17" s="2" t="s">
        <v>60</v>
      </c>
      <c r="B17" s="2" t="s">
        <v>89</v>
      </c>
      <c r="C17" s="2" t="s">
        <v>90</v>
      </c>
      <c r="D17" s="2" t="s">
        <v>102</v>
      </c>
      <c r="E17" s="2" t="s">
        <v>103</v>
      </c>
      <c r="F17" s="3">
        <v>3.681159420289855</v>
      </c>
      <c r="G17" s="3">
        <v>4.0915012553097254</v>
      </c>
      <c r="H17" s="4">
        <v>0.90592670744102932</v>
      </c>
      <c r="I17" s="4">
        <v>0.76289148864557399</v>
      </c>
      <c r="J17" s="4">
        <v>0.5756769374030275</v>
      </c>
      <c r="K17" s="4">
        <v>0.38820734408172458</v>
      </c>
      <c r="L17" s="4">
        <v>0.2350714024282187</v>
      </c>
      <c r="M17" s="4">
        <v>0.12881737293898551</v>
      </c>
      <c r="N17" s="3">
        <v>1.1038420567428679</v>
      </c>
      <c r="O17" s="3">
        <v>1.310802407528999</v>
      </c>
      <c r="P17" s="3">
        <v>1.7370853946506231</v>
      </c>
      <c r="Q17" s="3">
        <v>2.5759430243789572</v>
      </c>
      <c r="R17" s="3">
        <v>4.2540266049816911</v>
      </c>
      <c r="S17" s="3">
        <v>7.7629280677354817</v>
      </c>
      <c r="T17" s="3">
        <v>10.630009568051859</v>
      </c>
      <c r="U17" s="3">
        <v>4.2174782941689344</v>
      </c>
      <c r="V17" s="3">
        <v>2.3566949057157731</v>
      </c>
      <c r="W17" s="3">
        <v>1.6345407064408799</v>
      </c>
      <c r="X17" s="3">
        <v>1.307311562379075</v>
      </c>
      <c r="Y17" s="3">
        <v>1.147864946955564</v>
      </c>
      <c r="Z17" s="4">
        <v>1.9726271010203349E-2</v>
      </c>
      <c r="AA17" s="4">
        <v>7.434702154876735E-2</v>
      </c>
      <c r="AB17" s="4">
        <v>0.14303521879545539</v>
      </c>
      <c r="AC17" s="4">
        <v>0.18721455124254641</v>
      </c>
      <c r="AD17" s="4">
        <v>0.18746959332130289</v>
      </c>
      <c r="AE17" s="4">
        <v>0.15313594165350591</v>
      </c>
      <c r="AF17" s="4">
        <v>0.1062540294892331</v>
      </c>
      <c r="AG17" s="4">
        <v>6.4389395104700889E-2</v>
      </c>
      <c r="AH17" s="4">
        <v>3.4776730333411443E-2</v>
      </c>
      <c r="AI17" s="5" t="s">
        <v>93</v>
      </c>
      <c r="AJ17" s="3"/>
      <c r="AK17" s="5"/>
      <c r="AL17" s="8"/>
      <c r="AM17" s="8"/>
      <c r="AN17" s="8"/>
      <c r="AO17" s="8"/>
      <c r="AP17" s="8"/>
      <c r="AQ17" s="4" t="str">
        <f t="shared" si="0"/>
        <v/>
      </c>
      <c r="AR17" s="3" t="str">
        <f t="shared" si="1"/>
        <v/>
      </c>
      <c r="AS17" s="3" t="str">
        <f t="shared" si="2"/>
        <v/>
      </c>
      <c r="AT17" s="4" t="str">
        <f t="shared" si="3"/>
        <v/>
      </c>
      <c r="AU17" s="4" t="str">
        <f t="shared" si="4"/>
        <v/>
      </c>
      <c r="AV17" s="5" t="str">
        <f t="shared" si="5"/>
        <v/>
      </c>
      <c r="AW17" s="4" t="str">
        <f t="shared" si="6"/>
        <v/>
      </c>
      <c r="AX17" s="5" t="str">
        <f t="shared" si="7"/>
        <v/>
      </c>
      <c r="AY17" s="7" t="str">
        <f t="shared" si="8"/>
        <v/>
      </c>
      <c r="AZ17" s="8"/>
    </row>
    <row r="18" spans="1:52" x14ac:dyDescent="0.2">
      <c r="A18" s="2" t="s">
        <v>60</v>
      </c>
      <c r="B18" s="2" t="s">
        <v>89</v>
      </c>
      <c r="C18" s="2" t="s">
        <v>90</v>
      </c>
      <c r="D18" s="2" t="s">
        <v>104</v>
      </c>
      <c r="E18" s="2" t="s">
        <v>105</v>
      </c>
      <c r="F18" s="3">
        <v>3.681159420289855</v>
      </c>
      <c r="G18" s="3">
        <v>3.6772840875324579</v>
      </c>
      <c r="H18" s="4">
        <v>0.87226388448992753</v>
      </c>
      <c r="I18" s="4">
        <v>0.70005042981489596</v>
      </c>
      <c r="J18" s="4">
        <v>0.49583507124354331</v>
      </c>
      <c r="K18" s="4">
        <v>0.31056539481000123</v>
      </c>
      <c r="L18" s="4">
        <v>0.17345343297061139</v>
      </c>
      <c r="M18" s="4">
        <v>8.7261161498286888E-2</v>
      </c>
      <c r="N18" s="3">
        <v>1.14644205472839</v>
      </c>
      <c r="O18" s="3">
        <v>1.4284685179957901</v>
      </c>
      <c r="P18" s="3">
        <v>2.0167996537478121</v>
      </c>
      <c r="Q18" s="3">
        <v>3.219933761814588</v>
      </c>
      <c r="R18" s="3">
        <v>5.7652361378712644</v>
      </c>
      <c r="S18" s="3">
        <v>11.459852044481799</v>
      </c>
      <c r="T18" s="3">
        <v>7.8286395042375174</v>
      </c>
      <c r="U18" s="3">
        <v>3.3338937588171329</v>
      </c>
      <c r="V18" s="3">
        <v>1.983477911616226</v>
      </c>
      <c r="W18" s="3">
        <v>1.450463890950779</v>
      </c>
      <c r="X18" s="3">
        <v>1.209853189027212</v>
      </c>
      <c r="Y18" s="3">
        <v>1.0956036467578489</v>
      </c>
      <c r="Z18" s="4">
        <v>2.8934746264131578E-2</v>
      </c>
      <c r="AA18" s="4">
        <v>9.8801369245940823E-2</v>
      </c>
      <c r="AB18" s="4">
        <v>0.17221345467503171</v>
      </c>
      <c r="AC18" s="4">
        <v>0.20421535857135259</v>
      </c>
      <c r="AD18" s="4">
        <v>0.18526967643354211</v>
      </c>
      <c r="AE18" s="4">
        <v>0.1371119618393897</v>
      </c>
      <c r="AF18" s="4">
        <v>8.6192271472324555E-2</v>
      </c>
      <c r="AG18" s="4">
        <v>4.7321877626483898E-2</v>
      </c>
      <c r="AH18" s="4">
        <v>2.3155868596166869E-2</v>
      </c>
      <c r="AI18" s="5" t="s">
        <v>93</v>
      </c>
      <c r="AJ18" s="3"/>
      <c r="AK18" s="5"/>
      <c r="AL18" s="8"/>
      <c r="AM18" s="8"/>
      <c r="AN18" s="8"/>
      <c r="AO18" s="8"/>
      <c r="AP18" s="8"/>
      <c r="AQ18" s="4" t="str">
        <f t="shared" si="0"/>
        <v/>
      </c>
      <c r="AR18" s="3" t="str">
        <f t="shared" si="1"/>
        <v/>
      </c>
      <c r="AS18" s="3" t="str">
        <f t="shared" si="2"/>
        <v/>
      </c>
      <c r="AT18" s="4" t="str">
        <f t="shared" si="3"/>
        <v/>
      </c>
      <c r="AU18" s="4" t="str">
        <f t="shared" si="4"/>
        <v/>
      </c>
      <c r="AV18" s="5" t="str">
        <f t="shared" si="5"/>
        <v/>
      </c>
      <c r="AW18" s="4" t="str">
        <f t="shared" si="6"/>
        <v/>
      </c>
      <c r="AX18" s="5" t="str">
        <f t="shared" si="7"/>
        <v/>
      </c>
      <c r="AY18" s="7" t="str">
        <f t="shared" si="8"/>
        <v/>
      </c>
      <c r="AZ18" s="8"/>
    </row>
    <row r="19" spans="1:52" x14ac:dyDescent="0.2">
      <c r="A19" s="2" t="s">
        <v>60</v>
      </c>
      <c r="B19" s="2" t="s">
        <v>89</v>
      </c>
      <c r="C19" s="2" t="s">
        <v>90</v>
      </c>
      <c r="D19" s="2" t="s">
        <v>106</v>
      </c>
      <c r="E19" s="2" t="s">
        <v>107</v>
      </c>
      <c r="F19" s="3">
        <v>3.681159420289855</v>
      </c>
      <c r="G19" s="3">
        <v>3.886963959817503</v>
      </c>
      <c r="H19" s="4">
        <v>0.8905315103311946</v>
      </c>
      <c r="I19" s="4">
        <v>0.7333807084071613</v>
      </c>
      <c r="J19" s="4">
        <v>0.53720010766955362</v>
      </c>
      <c r="K19" s="4">
        <v>0.34983438690038299</v>
      </c>
      <c r="L19" s="4">
        <v>0.20385912060190631</v>
      </c>
      <c r="M19" s="4">
        <v>0.1072561695401001</v>
      </c>
      <c r="N19" s="3">
        <v>1.1229248919312169</v>
      </c>
      <c r="O19" s="3">
        <v>1.3635482751815391</v>
      </c>
      <c r="P19" s="3">
        <v>1.861503722212817</v>
      </c>
      <c r="Q19" s="3">
        <v>2.8584954408291332</v>
      </c>
      <c r="R19" s="3">
        <v>4.9053483456979512</v>
      </c>
      <c r="S19" s="3">
        <v>9.3234729926293696</v>
      </c>
      <c r="T19" s="3">
        <v>9.135048843968514</v>
      </c>
      <c r="U19" s="3">
        <v>3.7506663303536421</v>
      </c>
      <c r="V19" s="3">
        <v>2.160761090423903</v>
      </c>
      <c r="W19" s="3">
        <v>1.538069654641643</v>
      </c>
      <c r="X19" s="3">
        <v>1.256059104459037</v>
      </c>
      <c r="Y19" s="3">
        <v>1.1201421571122441</v>
      </c>
      <c r="Z19" s="4">
        <v>2.382500104467675E-2</v>
      </c>
      <c r="AA19" s="4">
        <v>8.56434886241286E-2</v>
      </c>
      <c r="AB19" s="4">
        <v>0.1571508019240333</v>
      </c>
      <c r="AC19" s="4">
        <v>0.19618060073760771</v>
      </c>
      <c r="AD19" s="4">
        <v>0.18736572076917049</v>
      </c>
      <c r="AE19" s="4">
        <v>0.14597526629847671</v>
      </c>
      <c r="AF19" s="4">
        <v>9.6602951061806192E-2</v>
      </c>
      <c r="AG19" s="4">
        <v>5.5834440931259152E-2</v>
      </c>
      <c r="AH19" s="4">
        <v>2.876202215093393E-2</v>
      </c>
      <c r="AI19" s="5" t="s">
        <v>93</v>
      </c>
      <c r="AJ19" s="3"/>
      <c r="AK19" s="5"/>
      <c r="AL19" s="8"/>
      <c r="AM19" s="8"/>
      <c r="AN19" s="8"/>
      <c r="AO19" s="8"/>
      <c r="AP19" s="8"/>
      <c r="AQ19" s="4" t="str">
        <f t="shared" si="0"/>
        <v/>
      </c>
      <c r="AR19" s="3" t="str">
        <f t="shared" si="1"/>
        <v/>
      </c>
      <c r="AS19" s="3" t="str">
        <f t="shared" si="2"/>
        <v/>
      </c>
      <c r="AT19" s="4" t="str">
        <f t="shared" si="3"/>
        <v/>
      </c>
      <c r="AU19" s="4" t="str">
        <f t="shared" si="4"/>
        <v/>
      </c>
      <c r="AV19" s="5" t="str">
        <f t="shared" si="5"/>
        <v/>
      </c>
      <c r="AW19" s="4" t="str">
        <f t="shared" si="6"/>
        <v/>
      </c>
      <c r="AX19" s="5" t="str">
        <f t="shared" si="7"/>
        <v/>
      </c>
      <c r="AY19" s="7" t="str">
        <f t="shared" si="8"/>
        <v/>
      </c>
      <c r="AZ19" s="8"/>
    </row>
    <row r="20" spans="1:52" x14ac:dyDescent="0.2">
      <c r="A20" s="2" t="s">
        <v>60</v>
      </c>
      <c r="B20" s="2" t="s">
        <v>89</v>
      </c>
      <c r="C20" s="2" t="s">
        <v>90</v>
      </c>
      <c r="D20" s="2" t="s">
        <v>108</v>
      </c>
      <c r="E20" s="2" t="s">
        <v>109</v>
      </c>
      <c r="F20" s="3">
        <v>3.681159420289855</v>
      </c>
      <c r="G20" s="3">
        <v>3.5838355693306099</v>
      </c>
      <c r="H20" s="4">
        <v>0.86322123980746679</v>
      </c>
      <c r="I20" s="4">
        <v>0.68415796848511223</v>
      </c>
      <c r="J20" s="4">
        <v>0.47683961758034971</v>
      </c>
      <c r="K20" s="4">
        <v>0.29320117694666509</v>
      </c>
      <c r="L20" s="4">
        <v>0.1605092481261243</v>
      </c>
      <c r="M20" s="4">
        <v>7.9067441859437926E-2</v>
      </c>
      <c r="N20" s="3">
        <v>1.1584515694065201</v>
      </c>
      <c r="O20" s="3">
        <v>1.4616507386652779</v>
      </c>
      <c r="P20" s="3">
        <v>2.0971411836003648</v>
      </c>
      <c r="Q20" s="3">
        <v>3.4106275097998848</v>
      </c>
      <c r="R20" s="3">
        <v>6.2301706080775103</v>
      </c>
      <c r="S20" s="3">
        <v>12.647430806952739</v>
      </c>
      <c r="T20" s="3">
        <v>7.3110766510266281</v>
      </c>
      <c r="U20" s="3">
        <v>3.1661397161221818</v>
      </c>
      <c r="V20" s="3">
        <v>1.911459723641411</v>
      </c>
      <c r="W20" s="3">
        <v>1.4148297469993669</v>
      </c>
      <c r="X20" s="3">
        <v>1.1911983518196509</v>
      </c>
      <c r="Y20" s="3">
        <v>1.085855843797163</v>
      </c>
      <c r="Z20" s="4">
        <v>3.1560167238839393E-2</v>
      </c>
      <c r="AA20" s="4">
        <v>0.1052185929536938</v>
      </c>
      <c r="AB20" s="4">
        <v>0.17906327132235461</v>
      </c>
      <c r="AC20" s="4">
        <v>0.20731835090476269</v>
      </c>
      <c r="AD20" s="4">
        <v>0.18363844063368451</v>
      </c>
      <c r="AE20" s="4">
        <v>0.1326919288205409</v>
      </c>
      <c r="AF20" s="4">
        <v>8.1441806266686373E-2</v>
      </c>
      <c r="AG20" s="4">
        <v>4.3656704396951622E-2</v>
      </c>
      <c r="AH20" s="4">
        <v>2.0857390166607481E-2</v>
      </c>
      <c r="AI20" s="5" t="s">
        <v>93</v>
      </c>
      <c r="AJ20" s="3"/>
      <c r="AK20" s="5"/>
      <c r="AL20" s="8"/>
      <c r="AM20" s="8"/>
      <c r="AN20" s="8"/>
      <c r="AO20" s="8"/>
      <c r="AP20" s="8"/>
      <c r="AQ20" s="4" t="str">
        <f t="shared" si="0"/>
        <v/>
      </c>
      <c r="AR20" s="3" t="str">
        <f t="shared" si="1"/>
        <v/>
      </c>
      <c r="AS20" s="3" t="str">
        <f t="shared" si="2"/>
        <v/>
      </c>
      <c r="AT20" s="4" t="str">
        <f t="shared" si="3"/>
        <v/>
      </c>
      <c r="AU20" s="4" t="str">
        <f t="shared" si="4"/>
        <v/>
      </c>
      <c r="AV20" s="5" t="str">
        <f t="shared" si="5"/>
        <v/>
      </c>
      <c r="AW20" s="4" t="str">
        <f t="shared" si="6"/>
        <v/>
      </c>
      <c r="AX20" s="5" t="str">
        <f t="shared" si="7"/>
        <v/>
      </c>
      <c r="AY20" s="7" t="str">
        <f t="shared" si="8"/>
        <v/>
      </c>
      <c r="AZ20" s="8"/>
    </row>
    <row r="21" spans="1:52" x14ac:dyDescent="0.2">
      <c r="A21" s="2" t="s">
        <v>60</v>
      </c>
      <c r="B21" s="2" t="s">
        <v>89</v>
      </c>
      <c r="C21" s="2" t="s">
        <v>90</v>
      </c>
      <c r="D21" s="2" t="s">
        <v>110</v>
      </c>
      <c r="E21" s="2" t="s">
        <v>111</v>
      </c>
      <c r="F21" s="3">
        <v>3.681159420289855</v>
      </c>
      <c r="G21" s="3">
        <v>3.7426469320873901</v>
      </c>
      <c r="H21" s="4">
        <v>0.87824869423481866</v>
      </c>
      <c r="I21" s="4">
        <v>0.71078296450328837</v>
      </c>
      <c r="J21" s="4">
        <v>0.50892405786769945</v>
      </c>
      <c r="K21" s="4">
        <v>0.32277342958266358</v>
      </c>
      <c r="L21" s="4">
        <v>0.1827385712878922</v>
      </c>
      <c r="M21" s="4">
        <v>9.3257786285761646E-2</v>
      </c>
      <c r="N21" s="3">
        <v>1.138629646208877</v>
      </c>
      <c r="O21" s="3">
        <v>1.4068992223228409</v>
      </c>
      <c r="P21" s="3">
        <v>1.9649297071744269</v>
      </c>
      <c r="Q21" s="3">
        <v>3.0981484482566302</v>
      </c>
      <c r="R21" s="3">
        <v>5.4722984477347598</v>
      </c>
      <c r="S21" s="3">
        <v>10.72296523247708</v>
      </c>
      <c r="T21" s="3">
        <v>8.2134642722327325</v>
      </c>
      <c r="U21" s="3">
        <v>3.4576109885178941</v>
      </c>
      <c r="V21" s="3">
        <v>2.0363449198058872</v>
      </c>
      <c r="W21" s="3">
        <v>1.4766106997009241</v>
      </c>
      <c r="X21" s="3">
        <v>1.2235986734084141</v>
      </c>
      <c r="Y21" s="3">
        <v>1.1028492827126191</v>
      </c>
      <c r="Z21" s="4">
        <v>2.723185647699566E-2</v>
      </c>
      <c r="AA21" s="4">
        <v>9.4519449288185634E-2</v>
      </c>
      <c r="AB21" s="4">
        <v>0.16746572973153029</v>
      </c>
      <c r="AC21" s="4">
        <v>0.20185890663558889</v>
      </c>
      <c r="AD21" s="4">
        <v>0.18615062828503581</v>
      </c>
      <c r="AE21" s="4">
        <v>0.14003485829477141</v>
      </c>
      <c r="AF21" s="4">
        <v>8.9480785002130497E-2</v>
      </c>
      <c r="AG21" s="4">
        <v>4.9937187112442459E-2</v>
      </c>
      <c r="AH21" s="4">
        <v>2.4838412302045441E-2</v>
      </c>
      <c r="AI21" s="5" t="s">
        <v>93</v>
      </c>
      <c r="AJ21" s="3"/>
      <c r="AK21" s="5"/>
      <c r="AL21" s="8"/>
      <c r="AM21" s="8"/>
      <c r="AN21" s="8"/>
      <c r="AO21" s="8"/>
      <c r="AP21" s="8"/>
      <c r="AQ21" s="4" t="str">
        <f t="shared" si="0"/>
        <v/>
      </c>
      <c r="AR21" s="3" t="str">
        <f t="shared" si="1"/>
        <v/>
      </c>
      <c r="AS21" s="3" t="str">
        <f t="shared" si="2"/>
        <v/>
      </c>
      <c r="AT21" s="4" t="str">
        <f t="shared" si="3"/>
        <v/>
      </c>
      <c r="AU21" s="4" t="str">
        <f t="shared" si="4"/>
        <v/>
      </c>
      <c r="AV21" s="5" t="str">
        <f t="shared" si="5"/>
        <v/>
      </c>
      <c r="AW21" s="4" t="str">
        <f t="shared" si="6"/>
        <v/>
      </c>
      <c r="AX21" s="5" t="str">
        <f t="shared" si="7"/>
        <v/>
      </c>
      <c r="AY21" s="7" t="str">
        <f t="shared" si="8"/>
        <v/>
      </c>
      <c r="AZ21" s="8"/>
    </row>
    <row r="22" spans="1:52" x14ac:dyDescent="0.2">
      <c r="A22" s="2" t="s">
        <v>76</v>
      </c>
      <c r="B22" s="2" t="s">
        <v>89</v>
      </c>
      <c r="C22" s="2" t="s">
        <v>90</v>
      </c>
      <c r="D22" s="2" t="s">
        <v>112</v>
      </c>
      <c r="E22" s="2" t="s">
        <v>113</v>
      </c>
      <c r="F22" s="3">
        <v>3.681159420289855</v>
      </c>
      <c r="G22" s="3">
        <v>3.851758893728447</v>
      </c>
      <c r="H22" s="4">
        <v>0.88764915849979253</v>
      </c>
      <c r="I22" s="4">
        <v>0.72800610240759833</v>
      </c>
      <c r="J22" s="4">
        <v>0.53038471418373456</v>
      </c>
      <c r="K22" s="4">
        <v>0.34322495491731708</v>
      </c>
      <c r="L22" s="4">
        <v>0.19863235388501119</v>
      </c>
      <c r="M22" s="4">
        <v>0.1037464625170572</v>
      </c>
      <c r="N22" s="3">
        <v>1.126571225156221</v>
      </c>
      <c r="O22" s="3">
        <v>1.3736148593986881</v>
      </c>
      <c r="P22" s="3">
        <v>1.885423869236138</v>
      </c>
      <c r="Q22" s="3">
        <v>2.913541063006039</v>
      </c>
      <c r="R22" s="3">
        <v>5.0344265696962056</v>
      </c>
      <c r="S22" s="3">
        <v>9.6388828663491779</v>
      </c>
      <c r="T22" s="3">
        <v>8.9006898982430265</v>
      </c>
      <c r="U22" s="3">
        <v>3.6765530728875282</v>
      </c>
      <c r="V22" s="3">
        <v>2.129402577392348</v>
      </c>
      <c r="W22" s="3">
        <v>1.5225913461345171</v>
      </c>
      <c r="X22" s="3">
        <v>1.2478666999447461</v>
      </c>
      <c r="Y22" s="3">
        <v>1.115755707707911</v>
      </c>
      <c r="Z22" s="4">
        <v>2.4613731089251131E-2</v>
      </c>
      <c r="AA22" s="4">
        <v>8.7737110410956387E-2</v>
      </c>
      <c r="AB22" s="4">
        <v>0.1596430560921942</v>
      </c>
      <c r="AC22" s="4">
        <v>0.1976213882238638</v>
      </c>
      <c r="AD22" s="4">
        <v>0.18715975926641751</v>
      </c>
      <c r="AE22" s="4">
        <v>0.14459260103230581</v>
      </c>
      <c r="AF22" s="4">
        <v>9.4885891367954014E-2</v>
      </c>
      <c r="AG22" s="4">
        <v>5.4382337929787708E-2</v>
      </c>
      <c r="AH22" s="4">
        <v>2.777918966084357E-2</v>
      </c>
      <c r="AI22" s="5" t="s">
        <v>93</v>
      </c>
      <c r="AJ22" s="3"/>
      <c r="AK22" s="5"/>
      <c r="AL22" s="8"/>
      <c r="AM22" s="8"/>
      <c r="AN22" s="8"/>
      <c r="AO22" s="8"/>
      <c r="AP22" s="8"/>
      <c r="AQ22" s="4" t="str">
        <f t="shared" si="0"/>
        <v/>
      </c>
      <c r="AR22" s="3" t="str">
        <f t="shared" si="1"/>
        <v/>
      </c>
      <c r="AS22" s="3" t="str">
        <f t="shared" si="2"/>
        <v/>
      </c>
      <c r="AT22" s="4" t="str">
        <f t="shared" si="3"/>
        <v/>
      </c>
      <c r="AU22" s="4" t="str">
        <f t="shared" si="4"/>
        <v/>
      </c>
      <c r="AV22" s="5" t="str">
        <f t="shared" si="5"/>
        <v/>
      </c>
      <c r="AW22" s="4" t="str">
        <f t="shared" si="6"/>
        <v/>
      </c>
      <c r="AX22" s="5" t="str">
        <f t="shared" si="7"/>
        <v/>
      </c>
      <c r="AY22" s="7" t="str">
        <f t="shared" si="8"/>
        <v/>
      </c>
      <c r="AZ22" s="8"/>
    </row>
    <row r="23" spans="1:52" x14ac:dyDescent="0.2">
      <c r="A23" s="2" t="s">
        <v>76</v>
      </c>
      <c r="B23" s="2" t="s">
        <v>89</v>
      </c>
      <c r="C23" s="2" t="s">
        <v>90</v>
      </c>
      <c r="D23" s="2" t="s">
        <v>114</v>
      </c>
      <c r="E23" s="2" t="s">
        <v>115</v>
      </c>
      <c r="F23" s="3">
        <v>3.681159420289855</v>
      </c>
      <c r="G23" s="3">
        <v>3.9764140461456039</v>
      </c>
      <c r="H23" s="4">
        <v>0.8975403277149967</v>
      </c>
      <c r="I23" s="4">
        <v>0.74664301290212387</v>
      </c>
      <c r="J23" s="4">
        <v>0.5542668776934947</v>
      </c>
      <c r="K23" s="4">
        <v>0.36663116592868028</v>
      </c>
      <c r="L23" s="4">
        <v>0.21733974125150299</v>
      </c>
      <c r="M23" s="4">
        <v>0.11644321708032269</v>
      </c>
      <c r="N23" s="3">
        <v>1.1141560653278391</v>
      </c>
      <c r="O23" s="3">
        <v>1.339328143061439</v>
      </c>
      <c r="P23" s="3">
        <v>1.804185023938941</v>
      </c>
      <c r="Q23" s="3">
        <v>2.7275368079169979</v>
      </c>
      <c r="R23" s="3">
        <v>4.6010913339719659</v>
      </c>
      <c r="S23" s="3">
        <v>8.5878767786894681</v>
      </c>
      <c r="T23" s="3">
        <v>9.7599375217440247</v>
      </c>
      <c r="U23" s="3">
        <v>3.946999889186726</v>
      </c>
      <c r="V23" s="3">
        <v>2.243494929937822</v>
      </c>
      <c r="W23" s="3">
        <v>1.578858867386892</v>
      </c>
      <c r="X23" s="3">
        <v>1.277693595429308</v>
      </c>
      <c r="Y23" s="3">
        <v>1.1317891722765581</v>
      </c>
      <c r="Z23" s="4">
        <v>2.1934987321831911E-2</v>
      </c>
      <c r="AA23" s="4">
        <v>8.0524684963171334E-2</v>
      </c>
      <c r="AB23" s="4">
        <v>0.15089731481287291</v>
      </c>
      <c r="AC23" s="4">
        <v>0.1923761352086292</v>
      </c>
      <c r="AD23" s="4">
        <v>0.18763571176481439</v>
      </c>
      <c r="AE23" s="4">
        <v>0.14929142467717729</v>
      </c>
      <c r="AF23" s="4">
        <v>0.1008965241711804</v>
      </c>
      <c r="AG23" s="4">
        <v>5.9554997259239073E-2</v>
      </c>
      <c r="AH23" s="4">
        <v>3.1330381189840113E-2</v>
      </c>
      <c r="AI23" s="5" t="s">
        <v>93</v>
      </c>
      <c r="AJ23" s="3"/>
      <c r="AK23" s="5"/>
      <c r="AL23" s="8"/>
      <c r="AM23" s="8"/>
      <c r="AN23" s="8"/>
      <c r="AO23" s="8"/>
      <c r="AP23" s="8"/>
      <c r="AQ23" s="4" t="str">
        <f t="shared" si="0"/>
        <v/>
      </c>
      <c r="AR23" s="3" t="str">
        <f t="shared" si="1"/>
        <v/>
      </c>
      <c r="AS23" s="3" t="str">
        <f t="shared" si="2"/>
        <v/>
      </c>
      <c r="AT23" s="4" t="str">
        <f t="shared" si="3"/>
        <v/>
      </c>
      <c r="AU23" s="4" t="str">
        <f t="shared" si="4"/>
        <v/>
      </c>
      <c r="AV23" s="5" t="str">
        <f t="shared" si="5"/>
        <v/>
      </c>
      <c r="AW23" s="4" t="str">
        <f t="shared" si="6"/>
        <v/>
      </c>
      <c r="AX23" s="5" t="str">
        <f t="shared" si="7"/>
        <v/>
      </c>
      <c r="AY23" s="7" t="str">
        <f t="shared" si="8"/>
        <v/>
      </c>
      <c r="AZ23" s="8"/>
    </row>
    <row r="24" spans="1:52" x14ac:dyDescent="0.2">
      <c r="A24" s="2" t="s">
        <v>116</v>
      </c>
      <c r="B24" s="2" t="s">
        <v>117</v>
      </c>
      <c r="C24" s="2" t="s">
        <v>118</v>
      </c>
      <c r="D24" s="2" t="s">
        <v>119</v>
      </c>
      <c r="E24" s="2" t="s">
        <v>120</v>
      </c>
      <c r="F24" s="3">
        <v>3.55</v>
      </c>
      <c r="G24" s="3">
        <v>3.569745320427991</v>
      </c>
      <c r="H24" s="4">
        <v>0.86180635989826559</v>
      </c>
      <c r="I24" s="4">
        <v>0.68170526127262132</v>
      </c>
      <c r="J24" s="4">
        <v>0.47394817601587519</v>
      </c>
      <c r="K24" s="4">
        <v>0.29059436349173362</v>
      </c>
      <c r="L24" s="4">
        <v>0.15859279065266529</v>
      </c>
      <c r="M24" s="4">
        <v>7.7871100520025771E-2</v>
      </c>
      <c r="N24" s="3">
        <v>1.1603534697957529</v>
      </c>
      <c r="O24" s="3">
        <v>1.4669096115426481</v>
      </c>
      <c r="P24" s="3">
        <v>2.109935327542023</v>
      </c>
      <c r="Q24" s="3">
        <v>3.4412229748167378</v>
      </c>
      <c r="R24" s="3">
        <v>6.3054568614666984</v>
      </c>
      <c r="S24" s="3">
        <v>12.84173452438667</v>
      </c>
      <c r="T24" s="3">
        <v>7.2362230220133661</v>
      </c>
      <c r="U24" s="3">
        <v>3.1417421601068489</v>
      </c>
      <c r="V24" s="3">
        <v>1.900953393577014</v>
      </c>
      <c r="W24" s="3">
        <v>1.4096307507818171</v>
      </c>
      <c r="X24" s="3">
        <v>1.1884851815991491</v>
      </c>
      <c r="Y24" s="3">
        <v>1.084447088215043</v>
      </c>
      <c r="Z24" s="4">
        <v>3.1976626388154357E-2</v>
      </c>
      <c r="AA24" s="4">
        <v>0.1062170137135801</v>
      </c>
      <c r="AB24" s="4">
        <v>0.18010109862564419</v>
      </c>
      <c r="AC24" s="4">
        <v>0.20775708525674619</v>
      </c>
      <c r="AD24" s="4">
        <v>0.1833538125241416</v>
      </c>
      <c r="AE24" s="4">
        <v>0.1320015728390683</v>
      </c>
      <c r="AF24" s="4">
        <v>8.0721690132639551E-2</v>
      </c>
      <c r="AG24" s="4">
        <v>4.3112384897552238E-2</v>
      </c>
      <c r="AH24" s="4">
        <v>2.0521982620168501E-2</v>
      </c>
      <c r="AI24" s="5" t="s">
        <v>93</v>
      </c>
      <c r="AJ24" s="3"/>
      <c r="AK24" s="5"/>
      <c r="AL24" s="8"/>
      <c r="AM24" s="8"/>
      <c r="AN24" s="8"/>
      <c r="AO24" s="8"/>
      <c r="AP24" s="8"/>
      <c r="AQ24" s="4" t="str">
        <f t="shared" si="0"/>
        <v/>
      </c>
      <c r="AR24" s="3" t="str">
        <f t="shared" si="1"/>
        <v/>
      </c>
      <c r="AS24" s="3" t="str">
        <f t="shared" si="2"/>
        <v/>
      </c>
      <c r="AT24" s="4" t="str">
        <f t="shared" si="3"/>
        <v/>
      </c>
      <c r="AU24" s="4" t="str">
        <f t="shared" si="4"/>
        <v/>
      </c>
      <c r="AV24" s="5" t="str">
        <f t="shared" si="5"/>
        <v/>
      </c>
      <c r="AW24" s="4" t="str">
        <f t="shared" si="6"/>
        <v/>
      </c>
      <c r="AX24" s="5" t="str">
        <f t="shared" si="7"/>
        <v/>
      </c>
      <c r="AY24" s="7" t="str">
        <f t="shared" si="8"/>
        <v/>
      </c>
      <c r="AZ24" s="8"/>
    </row>
    <row r="25" spans="1:52" x14ac:dyDescent="0.2">
      <c r="A25" s="2" t="s">
        <v>60</v>
      </c>
      <c r="B25" s="2" t="s">
        <v>117</v>
      </c>
      <c r="C25" s="2" t="s">
        <v>118</v>
      </c>
      <c r="D25" s="2" t="s">
        <v>121</v>
      </c>
      <c r="E25" s="2" t="s">
        <v>122</v>
      </c>
      <c r="F25" s="3">
        <v>3.55</v>
      </c>
      <c r="G25" s="3">
        <v>3.5817320782357869</v>
      </c>
      <c r="H25" s="4">
        <v>0.86301088891006195</v>
      </c>
      <c r="I25" s="4">
        <v>0.68379275378691939</v>
      </c>
      <c r="J25" s="4">
        <v>0.47640840220883912</v>
      </c>
      <c r="K25" s="4">
        <v>0.29281180328864459</v>
      </c>
      <c r="L25" s="4">
        <v>0.16022254520106349</v>
      </c>
      <c r="M25" s="4">
        <v>7.8888189906606621E-2</v>
      </c>
      <c r="N25" s="3">
        <v>1.1587339312287801</v>
      </c>
      <c r="O25" s="3">
        <v>1.4624314084375569</v>
      </c>
      <c r="P25" s="3">
        <v>2.099039385878922</v>
      </c>
      <c r="Q25" s="3">
        <v>3.4151628751598908</v>
      </c>
      <c r="R25" s="3">
        <v>6.2413189026868761</v>
      </c>
      <c r="S25" s="3">
        <v>12.67616865317699</v>
      </c>
      <c r="T25" s="3">
        <v>7.2998502730882429</v>
      </c>
      <c r="U25" s="3">
        <v>3.162482871521977</v>
      </c>
      <c r="V25" s="3">
        <v>1.9098854989626071</v>
      </c>
      <c r="W25" s="3">
        <v>1.414050750069515</v>
      </c>
      <c r="X25" s="3">
        <v>1.1907916725859531</v>
      </c>
      <c r="Y25" s="3">
        <v>1.085644532012469</v>
      </c>
      <c r="Z25" s="4">
        <v>3.1621985811258142E-2</v>
      </c>
      <c r="AA25" s="4">
        <v>0.1053671252786799</v>
      </c>
      <c r="AB25" s="4">
        <v>0.1792181351231425</v>
      </c>
      <c r="AC25" s="4">
        <v>0.2073843515780803</v>
      </c>
      <c r="AD25" s="4">
        <v>0.18359659892019439</v>
      </c>
      <c r="AE25" s="4">
        <v>0.13258925808758121</v>
      </c>
      <c r="AF25" s="4">
        <v>8.1334355294456831E-2</v>
      </c>
      <c r="AG25" s="4">
        <v>4.3575299170888038E-2</v>
      </c>
      <c r="AH25" s="4">
        <v>2.0807130576504341E-2</v>
      </c>
      <c r="AI25" s="5" t="s">
        <v>93</v>
      </c>
      <c r="AJ25" s="3"/>
      <c r="AK25" s="5"/>
      <c r="AL25" s="8"/>
      <c r="AM25" s="8"/>
      <c r="AN25" s="8"/>
      <c r="AO25" s="8"/>
      <c r="AP25" s="8"/>
      <c r="AQ25" s="4" t="str">
        <f t="shared" si="0"/>
        <v/>
      </c>
      <c r="AR25" s="3" t="str">
        <f t="shared" si="1"/>
        <v/>
      </c>
      <c r="AS25" s="3" t="str">
        <f t="shared" si="2"/>
        <v/>
      </c>
      <c r="AT25" s="4" t="str">
        <f t="shared" si="3"/>
        <v/>
      </c>
      <c r="AU25" s="4" t="str">
        <f t="shared" si="4"/>
        <v/>
      </c>
      <c r="AV25" s="5" t="str">
        <f t="shared" si="5"/>
        <v/>
      </c>
      <c r="AW25" s="4" t="str">
        <f t="shared" si="6"/>
        <v/>
      </c>
      <c r="AX25" s="5" t="str">
        <f t="shared" si="7"/>
        <v/>
      </c>
      <c r="AY25" s="7" t="str">
        <f t="shared" si="8"/>
        <v/>
      </c>
      <c r="AZ25" s="8"/>
    </row>
    <row r="26" spans="1:52" x14ac:dyDescent="0.2">
      <c r="A26" s="2" t="s">
        <v>60</v>
      </c>
      <c r="B26" s="2" t="s">
        <v>117</v>
      </c>
      <c r="C26" s="2" t="s">
        <v>118</v>
      </c>
      <c r="D26" s="2" t="s">
        <v>123</v>
      </c>
      <c r="E26" s="2" t="s">
        <v>124</v>
      </c>
      <c r="F26" s="3">
        <v>3.55</v>
      </c>
      <c r="G26" s="3">
        <v>3.6607307439912651</v>
      </c>
      <c r="H26" s="4">
        <v>0.87070448699042458</v>
      </c>
      <c r="I26" s="4">
        <v>0.69728247591114989</v>
      </c>
      <c r="J26" s="4">
        <v>0.492493862528675</v>
      </c>
      <c r="K26" s="4">
        <v>0.30748096189045188</v>
      </c>
      <c r="L26" s="4">
        <v>0.17113154692493729</v>
      </c>
      <c r="M26" s="4">
        <v>8.5777026819016E-2</v>
      </c>
      <c r="N26" s="3">
        <v>1.148495287369522</v>
      </c>
      <c r="O26" s="3">
        <v>1.43413901043947</v>
      </c>
      <c r="P26" s="3">
        <v>2.030482156397992</v>
      </c>
      <c r="Q26" s="3">
        <v>3.25223387442204</v>
      </c>
      <c r="R26" s="3">
        <v>5.8434579594995766</v>
      </c>
      <c r="S26" s="3">
        <v>11.658133151548091</v>
      </c>
      <c r="T26" s="3">
        <v>7.7342204437205906</v>
      </c>
      <c r="U26" s="3">
        <v>3.3034096820456669</v>
      </c>
      <c r="V26" s="3">
        <v>1.970419520407281</v>
      </c>
      <c r="W26" s="3">
        <v>1.444003622961499</v>
      </c>
      <c r="X26" s="3">
        <v>1.206464061082368</v>
      </c>
      <c r="Y26" s="3">
        <v>1.0938250616483201</v>
      </c>
      <c r="Z26" s="4">
        <v>2.93830103229815E-2</v>
      </c>
      <c r="AA26" s="4">
        <v>9.9912502686593907E-2</v>
      </c>
      <c r="AB26" s="4">
        <v>0.17342201107927471</v>
      </c>
      <c r="AC26" s="4">
        <v>0.20478861338247489</v>
      </c>
      <c r="AD26" s="4">
        <v>0.18501290063822301</v>
      </c>
      <c r="AE26" s="4">
        <v>0.1363494149655147</v>
      </c>
      <c r="AF26" s="4">
        <v>8.5354520105921261E-2</v>
      </c>
      <c r="AG26" s="4">
        <v>4.6665984440244043E-2</v>
      </c>
      <c r="AH26" s="4">
        <v>2.2739442087557921E-2</v>
      </c>
      <c r="AI26" s="5" t="s">
        <v>93</v>
      </c>
      <c r="AJ26" s="3"/>
      <c r="AK26" s="5"/>
      <c r="AL26" s="8"/>
      <c r="AM26" s="8"/>
      <c r="AN26" s="8"/>
      <c r="AO26" s="8"/>
      <c r="AP26" s="8"/>
      <c r="AQ26" s="4" t="str">
        <f t="shared" si="0"/>
        <v/>
      </c>
      <c r="AR26" s="3" t="str">
        <f t="shared" si="1"/>
        <v/>
      </c>
      <c r="AS26" s="3" t="str">
        <f t="shared" si="2"/>
        <v/>
      </c>
      <c r="AT26" s="4" t="str">
        <f t="shared" si="3"/>
        <v/>
      </c>
      <c r="AU26" s="4" t="str">
        <f t="shared" si="4"/>
        <v/>
      </c>
      <c r="AV26" s="5" t="str">
        <f t="shared" si="5"/>
        <v/>
      </c>
      <c r="AW26" s="4" t="str">
        <f t="shared" si="6"/>
        <v/>
      </c>
      <c r="AX26" s="5" t="str">
        <f t="shared" si="7"/>
        <v/>
      </c>
      <c r="AY26" s="7" t="str">
        <f t="shared" si="8"/>
        <v/>
      </c>
      <c r="AZ26" s="8"/>
    </row>
    <row r="27" spans="1:52" x14ac:dyDescent="0.2">
      <c r="A27" s="2" t="s">
        <v>60</v>
      </c>
      <c r="B27" s="2" t="s">
        <v>117</v>
      </c>
      <c r="C27" s="2" t="s">
        <v>118</v>
      </c>
      <c r="D27" s="2" t="s">
        <v>125</v>
      </c>
      <c r="E27" s="2" t="s">
        <v>126</v>
      </c>
      <c r="F27" s="3">
        <v>3.55</v>
      </c>
      <c r="G27" s="3">
        <v>3.8669175778956131</v>
      </c>
      <c r="H27" s="4">
        <v>0.88889902783683561</v>
      </c>
      <c r="I27" s="4">
        <v>0.73033113140359018</v>
      </c>
      <c r="J27" s="4">
        <v>0.53332598293053624</v>
      </c>
      <c r="K27" s="4">
        <v>0.34607051563983399</v>
      </c>
      <c r="L27" s="4">
        <v>0.20087724198282619</v>
      </c>
      <c r="M27" s="4">
        <v>0.1052502560736116</v>
      </c>
      <c r="N27" s="3">
        <v>1.12498716804037</v>
      </c>
      <c r="O27" s="3">
        <v>1.3692419191800651</v>
      </c>
      <c r="P27" s="3">
        <v>1.8750258416159831</v>
      </c>
      <c r="Q27" s="3">
        <v>2.889584506068497</v>
      </c>
      <c r="R27" s="3">
        <v>4.9781647245310836</v>
      </c>
      <c r="S27" s="3">
        <v>9.5011645320901081</v>
      </c>
      <c r="T27" s="3">
        <v>9.0008213297304582</v>
      </c>
      <c r="U27" s="3">
        <v>3.7082515501506181</v>
      </c>
      <c r="V27" s="3">
        <v>2.142823391539177</v>
      </c>
      <c r="W27" s="3">
        <v>1.5292168711102621</v>
      </c>
      <c r="X27" s="3">
        <v>1.251372195282304</v>
      </c>
      <c r="Y27" s="3">
        <v>1.117630942940254</v>
      </c>
      <c r="Z27" s="4">
        <v>2.427090031301057E-2</v>
      </c>
      <c r="AA27" s="4">
        <v>8.6830071850153762E-2</v>
      </c>
      <c r="AB27" s="4">
        <v>0.15856789643324551</v>
      </c>
      <c r="AC27" s="4">
        <v>0.19700514847305389</v>
      </c>
      <c r="AD27" s="4">
        <v>0.18725546729070219</v>
      </c>
      <c r="AE27" s="4">
        <v>0.1451932736570079</v>
      </c>
      <c r="AF27" s="4">
        <v>9.5626985909214549E-2</v>
      </c>
      <c r="AG27" s="4">
        <v>5.5006637562340158E-2</v>
      </c>
      <c r="AH27" s="4">
        <v>2.82003952527679E-2</v>
      </c>
      <c r="AI27" s="5" t="s">
        <v>93</v>
      </c>
      <c r="AJ27" s="3"/>
      <c r="AK27" s="5"/>
      <c r="AL27" s="8"/>
      <c r="AM27" s="8"/>
      <c r="AN27" s="8"/>
      <c r="AO27" s="8"/>
      <c r="AP27" s="8"/>
      <c r="AQ27" s="4" t="str">
        <f t="shared" si="0"/>
        <v/>
      </c>
      <c r="AR27" s="3" t="str">
        <f t="shared" si="1"/>
        <v/>
      </c>
      <c r="AS27" s="3" t="str">
        <f t="shared" si="2"/>
        <v/>
      </c>
      <c r="AT27" s="4" t="str">
        <f t="shared" si="3"/>
        <v/>
      </c>
      <c r="AU27" s="4" t="str">
        <f t="shared" si="4"/>
        <v/>
      </c>
      <c r="AV27" s="5" t="str">
        <f t="shared" si="5"/>
        <v/>
      </c>
      <c r="AW27" s="4" t="str">
        <f t="shared" si="6"/>
        <v/>
      </c>
      <c r="AX27" s="5" t="str">
        <f t="shared" si="7"/>
        <v/>
      </c>
      <c r="AY27" s="7" t="str">
        <f t="shared" si="8"/>
        <v/>
      </c>
      <c r="AZ27" s="8"/>
    </row>
    <row r="28" spans="1:52" x14ac:dyDescent="0.2">
      <c r="A28" s="2" t="s">
        <v>60</v>
      </c>
      <c r="B28" s="2" t="s">
        <v>117</v>
      </c>
      <c r="C28" s="2" t="s">
        <v>118</v>
      </c>
      <c r="D28" s="2" t="s">
        <v>127</v>
      </c>
      <c r="E28" s="2" t="s">
        <v>128</v>
      </c>
      <c r="F28" s="3">
        <v>3.55</v>
      </c>
      <c r="G28" s="3">
        <v>3.7520704548209269</v>
      </c>
      <c r="H28" s="4">
        <v>0.87908923822607976</v>
      </c>
      <c r="I28" s="4">
        <v>0.71230449204199331</v>
      </c>
      <c r="J28" s="4">
        <v>0.51079707383776918</v>
      </c>
      <c r="K28" s="4">
        <v>0.32453674366851848</v>
      </c>
      <c r="L28" s="4">
        <v>0.1840922365444646</v>
      </c>
      <c r="M28" s="4">
        <v>9.4140173667979665E-2</v>
      </c>
      <c r="N28" s="3">
        <v>1.137540941825095</v>
      </c>
      <c r="O28" s="3">
        <v>1.4038939964189441</v>
      </c>
      <c r="P28" s="3">
        <v>1.9577246057552851</v>
      </c>
      <c r="Q28" s="3">
        <v>3.081315196227516</v>
      </c>
      <c r="R28" s="3">
        <v>5.4320595956172522</v>
      </c>
      <c r="S28" s="3">
        <v>10.62245756553278</v>
      </c>
      <c r="T28" s="3">
        <v>8.2705623993156774</v>
      </c>
      <c r="U28" s="3">
        <v>3.4758971632812719</v>
      </c>
      <c r="V28" s="3">
        <v>2.044141493275486</v>
      </c>
      <c r="W28" s="3">
        <v>1.48046542965359</v>
      </c>
      <c r="X28" s="3">
        <v>1.2256287349991579</v>
      </c>
      <c r="Y28" s="3">
        <v>1.103923555202982</v>
      </c>
      <c r="Z28" s="4">
        <v>2.699492664556544E-2</v>
      </c>
      <c r="AA28" s="4">
        <v>9.3915835128354816E-2</v>
      </c>
      <c r="AB28" s="4">
        <v>0.16678474618408651</v>
      </c>
      <c r="AC28" s="4">
        <v>0.2015074182042241</v>
      </c>
      <c r="AD28" s="4">
        <v>0.1862603301692507</v>
      </c>
      <c r="AE28" s="4">
        <v>0.1404445071240539</v>
      </c>
      <c r="AF28" s="4">
        <v>8.9952062876484939E-2</v>
      </c>
      <c r="AG28" s="4">
        <v>5.0317395993135013E-2</v>
      </c>
      <c r="AH28" s="4">
        <v>2.508595586365453E-2</v>
      </c>
      <c r="AI28" s="5" t="s">
        <v>93</v>
      </c>
      <c r="AJ28" s="3"/>
      <c r="AK28" s="5"/>
      <c r="AL28" s="8"/>
      <c r="AM28" s="8"/>
      <c r="AN28" s="8"/>
      <c r="AO28" s="8"/>
      <c r="AP28" s="8"/>
      <c r="AQ28" s="4" t="str">
        <f t="shared" si="0"/>
        <v/>
      </c>
      <c r="AR28" s="3" t="str">
        <f t="shared" si="1"/>
        <v/>
      </c>
      <c r="AS28" s="3" t="str">
        <f t="shared" si="2"/>
        <v/>
      </c>
      <c r="AT28" s="4" t="str">
        <f t="shared" si="3"/>
        <v/>
      </c>
      <c r="AU28" s="4" t="str">
        <f t="shared" si="4"/>
        <v/>
      </c>
      <c r="AV28" s="5" t="str">
        <f t="shared" si="5"/>
        <v/>
      </c>
      <c r="AW28" s="4" t="str">
        <f t="shared" si="6"/>
        <v/>
      </c>
      <c r="AX28" s="5" t="str">
        <f t="shared" si="7"/>
        <v/>
      </c>
      <c r="AY28" s="7" t="str">
        <f t="shared" si="8"/>
        <v/>
      </c>
      <c r="AZ28" s="8"/>
    </row>
    <row r="29" spans="1:52" x14ac:dyDescent="0.2">
      <c r="A29" s="2" t="s">
        <v>60</v>
      </c>
      <c r="B29" s="2" t="s">
        <v>117</v>
      </c>
      <c r="C29" s="2" t="s">
        <v>118</v>
      </c>
      <c r="D29" s="2" t="s">
        <v>129</v>
      </c>
      <c r="E29" s="2" t="s">
        <v>130</v>
      </c>
      <c r="F29" s="3">
        <v>3.55</v>
      </c>
      <c r="G29" s="3">
        <v>3.8896225159764488</v>
      </c>
      <c r="H29" s="4">
        <v>0.89074628064828931</v>
      </c>
      <c r="I29" s="4">
        <v>0.73378300120756657</v>
      </c>
      <c r="J29" s="4">
        <v>0.5377125587035666</v>
      </c>
      <c r="K29" s="4">
        <v>0.35033360329357088</v>
      </c>
      <c r="L29" s="4">
        <v>0.20425568938937891</v>
      </c>
      <c r="M29" s="4">
        <v>0.1075236637831187</v>
      </c>
      <c r="N29" s="3">
        <v>1.122654140382372</v>
      </c>
      <c r="O29" s="3">
        <v>1.3628007167709359</v>
      </c>
      <c r="P29" s="3">
        <v>1.859729671203916</v>
      </c>
      <c r="Q29" s="3">
        <v>2.854422158190816</v>
      </c>
      <c r="R29" s="3">
        <v>4.8958244589881126</v>
      </c>
      <c r="S29" s="3">
        <v>9.3002783277275238</v>
      </c>
      <c r="T29" s="3">
        <v>9.1530064691050903</v>
      </c>
      <c r="U29" s="3">
        <v>3.756334135445984</v>
      </c>
      <c r="V29" s="3">
        <v>2.1631563193575229</v>
      </c>
      <c r="W29" s="3">
        <v>1.539251537511612</v>
      </c>
      <c r="X29" s="3">
        <v>1.25668507668329</v>
      </c>
      <c r="Y29" s="3">
        <v>1.1204778876702779</v>
      </c>
      <c r="Z29" s="4">
        <v>2.3766497155072071E-2</v>
      </c>
      <c r="AA29" s="4">
        <v>8.548722219663861E-2</v>
      </c>
      <c r="AB29" s="4">
        <v>0.15696327944072269</v>
      </c>
      <c r="AC29" s="4">
        <v>0.19607044250399999</v>
      </c>
      <c r="AD29" s="4">
        <v>0.18737895540999569</v>
      </c>
      <c r="AE29" s="4">
        <v>0.146077913904192</v>
      </c>
      <c r="AF29" s="4">
        <v>9.6732025606260111E-2</v>
      </c>
      <c r="AG29" s="4">
        <v>5.5944406003176093E-2</v>
      </c>
      <c r="AH29" s="4">
        <v>2.883689645997219E-2</v>
      </c>
      <c r="AI29" s="5" t="s">
        <v>93</v>
      </c>
      <c r="AJ29" s="3"/>
      <c r="AK29" s="5"/>
      <c r="AL29" s="8"/>
      <c r="AM29" s="8"/>
      <c r="AN29" s="8"/>
      <c r="AO29" s="8"/>
      <c r="AP29" s="8"/>
      <c r="AQ29" s="4" t="str">
        <f t="shared" si="0"/>
        <v/>
      </c>
      <c r="AR29" s="3" t="str">
        <f t="shared" si="1"/>
        <v/>
      </c>
      <c r="AS29" s="3" t="str">
        <f t="shared" si="2"/>
        <v/>
      </c>
      <c r="AT29" s="4" t="str">
        <f t="shared" si="3"/>
        <v/>
      </c>
      <c r="AU29" s="4" t="str">
        <f t="shared" si="4"/>
        <v/>
      </c>
      <c r="AV29" s="5" t="str">
        <f t="shared" si="5"/>
        <v/>
      </c>
      <c r="AW29" s="4" t="str">
        <f t="shared" si="6"/>
        <v/>
      </c>
      <c r="AX29" s="5" t="str">
        <f t="shared" si="7"/>
        <v/>
      </c>
      <c r="AY29" s="7" t="str">
        <f t="shared" si="8"/>
        <v/>
      </c>
      <c r="AZ29" s="8"/>
    </row>
    <row r="30" spans="1:52" x14ac:dyDescent="0.2">
      <c r="A30" s="2" t="s">
        <v>60</v>
      </c>
      <c r="B30" s="2" t="s">
        <v>117</v>
      </c>
      <c r="C30" s="2" t="s">
        <v>118</v>
      </c>
      <c r="D30" s="2" t="s">
        <v>131</v>
      </c>
      <c r="E30" s="2" t="s">
        <v>132</v>
      </c>
      <c r="F30" s="3">
        <v>3.55</v>
      </c>
      <c r="G30" s="3">
        <v>4.2415290117082654</v>
      </c>
      <c r="H30" s="4">
        <v>0.91587168311371858</v>
      </c>
      <c r="I30" s="4">
        <v>0.78273972664891156</v>
      </c>
      <c r="J30" s="4">
        <v>0.6026184510765964</v>
      </c>
      <c r="K30" s="4">
        <v>0.41617706076032551</v>
      </c>
      <c r="L30" s="4">
        <v>0.25875169465497089</v>
      </c>
      <c r="M30" s="4">
        <v>0.14584256223172451</v>
      </c>
      <c r="N30" s="3">
        <v>1.0918560082568201</v>
      </c>
      <c r="O30" s="3">
        <v>1.277563877179493</v>
      </c>
      <c r="P30" s="3">
        <v>1.659424795595736</v>
      </c>
      <c r="Q30" s="3">
        <v>2.402823447724562</v>
      </c>
      <c r="R30" s="3">
        <v>3.8647089880259018</v>
      </c>
      <c r="S30" s="3">
        <v>6.8567089380336883</v>
      </c>
      <c r="T30" s="3">
        <v>11.886604142475919</v>
      </c>
      <c r="U30" s="3">
        <v>4.6027742880725331</v>
      </c>
      <c r="V30" s="3">
        <v>2.516473154602235</v>
      </c>
      <c r="W30" s="3">
        <v>1.7128480790808289</v>
      </c>
      <c r="X30" s="3">
        <v>1.3490755969209669</v>
      </c>
      <c r="Y30" s="3">
        <v>1.170744356699368</v>
      </c>
      <c r="Z30" s="4">
        <v>1.7183521045991121E-2</v>
      </c>
      <c r="AA30" s="4">
        <v>6.6944795840290242E-2</v>
      </c>
      <c r="AB30" s="4">
        <v>0.13313195646480699</v>
      </c>
      <c r="AC30" s="4">
        <v>0.18012127557231519</v>
      </c>
      <c r="AD30" s="4">
        <v>0.18644139031627091</v>
      </c>
      <c r="AE30" s="4">
        <v>0.15742536610535449</v>
      </c>
      <c r="AF30" s="4">
        <v>0.11290913242324641</v>
      </c>
      <c r="AG30" s="4">
        <v>7.0726813124070503E-2</v>
      </c>
      <c r="AH30" s="4">
        <v>3.9486130377342443E-2</v>
      </c>
      <c r="AI30" s="5" t="s">
        <v>93</v>
      </c>
      <c r="AJ30" s="3"/>
      <c r="AK30" s="5"/>
      <c r="AL30" s="8"/>
      <c r="AM30" s="8"/>
      <c r="AN30" s="8"/>
      <c r="AO30" s="8"/>
      <c r="AP30" s="8"/>
      <c r="AQ30" s="4" t="str">
        <f t="shared" si="0"/>
        <v/>
      </c>
      <c r="AR30" s="3" t="str">
        <f t="shared" si="1"/>
        <v/>
      </c>
      <c r="AS30" s="3" t="str">
        <f t="shared" si="2"/>
        <v/>
      </c>
      <c r="AT30" s="4" t="str">
        <f t="shared" si="3"/>
        <v/>
      </c>
      <c r="AU30" s="4" t="str">
        <f t="shared" si="4"/>
        <v/>
      </c>
      <c r="AV30" s="5" t="str">
        <f t="shared" si="5"/>
        <v/>
      </c>
      <c r="AW30" s="4" t="str">
        <f t="shared" si="6"/>
        <v/>
      </c>
      <c r="AX30" s="5" t="str">
        <f t="shared" si="7"/>
        <v/>
      </c>
      <c r="AY30" s="7" t="str">
        <f t="shared" si="8"/>
        <v/>
      </c>
      <c r="AZ30" s="8"/>
    </row>
    <row r="31" spans="1:52" x14ac:dyDescent="0.2">
      <c r="A31" s="2" t="s">
        <v>60</v>
      </c>
      <c r="B31" s="2" t="s">
        <v>117</v>
      </c>
      <c r="C31" s="2" t="s">
        <v>118</v>
      </c>
      <c r="D31" s="2" t="s">
        <v>133</v>
      </c>
      <c r="E31" s="2" t="s">
        <v>134</v>
      </c>
      <c r="F31" s="3">
        <v>3.55</v>
      </c>
      <c r="G31" s="3">
        <v>3.302102611262228</v>
      </c>
      <c r="H31" s="4">
        <v>0.83217157035393219</v>
      </c>
      <c r="I31" s="4">
        <v>0.632276622456032</v>
      </c>
      <c r="J31" s="4">
        <v>0.41785774756505661</v>
      </c>
      <c r="K31" s="4">
        <v>0.2418957728683635</v>
      </c>
      <c r="L31" s="4">
        <v>0.1241000012106984</v>
      </c>
      <c r="M31" s="4">
        <v>5.7117315757084008E-2</v>
      </c>
      <c r="N31" s="3">
        <v>1.2016752742162149</v>
      </c>
      <c r="O31" s="3">
        <v>1.581586230589348</v>
      </c>
      <c r="P31" s="3">
        <v>2.393158929868374</v>
      </c>
      <c r="Q31" s="3">
        <v>4.1340118851278431</v>
      </c>
      <c r="R31" s="3">
        <v>8.0580176490263558</v>
      </c>
      <c r="S31" s="3">
        <v>17.50782554721113</v>
      </c>
      <c r="T31" s="3">
        <v>5.9584660483858007</v>
      </c>
      <c r="U31" s="3">
        <v>2.7194354807655161</v>
      </c>
      <c r="V31" s="3">
        <v>1.7177931954213439</v>
      </c>
      <c r="W31" s="3">
        <v>1.3190798365332961</v>
      </c>
      <c r="X31" s="3">
        <v>1.1416828420849801</v>
      </c>
      <c r="Y31" s="3">
        <v>1.0605773302571</v>
      </c>
      <c r="Z31" s="4">
        <v>4.1046362120611017E-2</v>
      </c>
      <c r="AA31" s="4">
        <v>0.12678206752545679</v>
      </c>
      <c r="AB31" s="4">
        <v>0.19989494789790019</v>
      </c>
      <c r="AC31" s="4">
        <v>0.21441887489097541</v>
      </c>
      <c r="AD31" s="4">
        <v>0.175961974696693</v>
      </c>
      <c r="AE31" s="4">
        <v>0.1177957716576651</v>
      </c>
      <c r="AF31" s="4">
        <v>6.698268545361441E-2</v>
      </c>
      <c r="AG31" s="4">
        <v>3.3265654284455347E-2</v>
      </c>
      <c r="AH31" s="4">
        <v>1.4724313329634069E-2</v>
      </c>
      <c r="AI31" s="5" t="s">
        <v>93</v>
      </c>
      <c r="AJ31" s="3"/>
      <c r="AK31" s="5"/>
      <c r="AL31" s="8"/>
      <c r="AM31" s="8"/>
      <c r="AN31" s="8"/>
      <c r="AO31" s="8"/>
      <c r="AP31" s="8"/>
      <c r="AQ31" s="4" t="str">
        <f t="shared" si="0"/>
        <v/>
      </c>
      <c r="AR31" s="3" t="str">
        <f t="shared" si="1"/>
        <v/>
      </c>
      <c r="AS31" s="3" t="str">
        <f t="shared" si="2"/>
        <v/>
      </c>
      <c r="AT31" s="4" t="str">
        <f t="shared" si="3"/>
        <v/>
      </c>
      <c r="AU31" s="4" t="str">
        <f t="shared" si="4"/>
        <v/>
      </c>
      <c r="AV31" s="5" t="str">
        <f t="shared" si="5"/>
        <v/>
      </c>
      <c r="AW31" s="4" t="str">
        <f t="shared" si="6"/>
        <v/>
      </c>
      <c r="AX31" s="5" t="str">
        <f t="shared" si="7"/>
        <v/>
      </c>
      <c r="AY31" s="7" t="str">
        <f t="shared" si="8"/>
        <v/>
      </c>
      <c r="AZ31" s="8"/>
    </row>
    <row r="32" spans="1:52" x14ac:dyDescent="0.2">
      <c r="A32" s="2" t="s">
        <v>60</v>
      </c>
      <c r="B32" s="2" t="s">
        <v>117</v>
      </c>
      <c r="C32" s="2" t="s">
        <v>118</v>
      </c>
      <c r="D32" s="2" t="s">
        <v>135</v>
      </c>
      <c r="E32" s="2" t="s">
        <v>136</v>
      </c>
      <c r="F32" s="3">
        <v>3.55</v>
      </c>
      <c r="G32" s="3">
        <v>3.5531704432312941</v>
      </c>
      <c r="H32" s="4">
        <v>0.86012429950700109</v>
      </c>
      <c r="I32" s="4">
        <v>0.67880103047563345</v>
      </c>
      <c r="J32" s="4">
        <v>0.47053810483399938</v>
      </c>
      <c r="K32" s="4">
        <v>0.28753223945826389</v>
      </c>
      <c r="L32" s="4">
        <v>0.1563505821094909</v>
      </c>
      <c r="M32" s="4">
        <v>7.647699350912307E-2</v>
      </c>
      <c r="N32" s="3">
        <v>1.162622658810095</v>
      </c>
      <c r="O32" s="3">
        <v>1.473185742365924</v>
      </c>
      <c r="P32" s="3">
        <v>2.1252263944761469</v>
      </c>
      <c r="Q32" s="3">
        <v>3.477870870703363</v>
      </c>
      <c r="R32" s="3">
        <v>6.3958828071372889</v>
      </c>
      <c r="S32" s="3">
        <v>13.07582782893666</v>
      </c>
      <c r="T32" s="3">
        <v>7.1492045900428014</v>
      </c>
      <c r="U32" s="3">
        <v>3.1133350193520428</v>
      </c>
      <c r="V32" s="3">
        <v>1.8887100452931991</v>
      </c>
      <c r="W32" s="3">
        <v>1.403572281277168</v>
      </c>
      <c r="X32" s="3">
        <v>1.185326486089963</v>
      </c>
      <c r="Y32" s="3">
        <v>1.082810057758836</v>
      </c>
      <c r="Z32" s="4">
        <v>3.2473711998270358E-2</v>
      </c>
      <c r="AA32" s="4">
        <v>0.1074019884947286</v>
      </c>
      <c r="AB32" s="4">
        <v>0.18132326903136761</v>
      </c>
      <c r="AC32" s="4">
        <v>0.20826292564163409</v>
      </c>
      <c r="AD32" s="4">
        <v>0.18300586537573549</v>
      </c>
      <c r="AE32" s="4">
        <v>0.13118165734877291</v>
      </c>
      <c r="AF32" s="4">
        <v>7.9873588600367848E-2</v>
      </c>
      <c r="AG32" s="4">
        <v>4.2475054185296998E-2</v>
      </c>
      <c r="AH32" s="4">
        <v>2.013122265540037E-2</v>
      </c>
      <c r="AI32" s="5" t="s">
        <v>93</v>
      </c>
      <c r="AJ32" s="3"/>
      <c r="AK32" s="5"/>
      <c r="AL32" s="8"/>
      <c r="AM32" s="8"/>
      <c r="AN32" s="8"/>
      <c r="AO32" s="8"/>
      <c r="AP32" s="8"/>
      <c r="AQ32" s="4" t="str">
        <f t="shared" si="0"/>
        <v/>
      </c>
      <c r="AR32" s="3" t="str">
        <f t="shared" si="1"/>
        <v/>
      </c>
      <c r="AS32" s="3" t="str">
        <f t="shared" si="2"/>
        <v/>
      </c>
      <c r="AT32" s="4" t="str">
        <f t="shared" si="3"/>
        <v/>
      </c>
      <c r="AU32" s="4" t="str">
        <f t="shared" si="4"/>
        <v/>
      </c>
      <c r="AV32" s="5" t="str">
        <f t="shared" si="5"/>
        <v/>
      </c>
      <c r="AW32" s="4" t="str">
        <f t="shared" si="6"/>
        <v/>
      </c>
      <c r="AX32" s="5" t="str">
        <f t="shared" si="7"/>
        <v/>
      </c>
      <c r="AY32" s="7" t="str">
        <f t="shared" si="8"/>
        <v/>
      </c>
      <c r="AZ32" s="8"/>
    </row>
    <row r="33" spans="1:52" x14ac:dyDescent="0.2">
      <c r="A33" s="2" t="s">
        <v>60</v>
      </c>
      <c r="B33" s="2" t="s">
        <v>117</v>
      </c>
      <c r="C33" s="2" t="s">
        <v>118</v>
      </c>
      <c r="D33" s="2" t="s">
        <v>137</v>
      </c>
      <c r="E33" s="2" t="s">
        <v>138</v>
      </c>
      <c r="F33" s="3">
        <v>3.55</v>
      </c>
      <c r="G33" s="3">
        <v>3.7435023660431219</v>
      </c>
      <c r="H33" s="4">
        <v>0.87832522458984874</v>
      </c>
      <c r="I33" s="4">
        <v>0.71092135076523788</v>
      </c>
      <c r="J33" s="4">
        <v>0.5090942323066513</v>
      </c>
      <c r="K33" s="4">
        <v>0.32293346717703408</v>
      </c>
      <c r="L33" s="4">
        <v>0.1828612990784271</v>
      </c>
      <c r="M33" s="4">
        <v>9.3337701602100864E-2</v>
      </c>
      <c r="N33" s="3">
        <v>1.1385304349729559</v>
      </c>
      <c r="O33" s="3">
        <v>1.406625358661119</v>
      </c>
      <c r="P33" s="3">
        <v>1.9642728920127559</v>
      </c>
      <c r="Q33" s="3">
        <v>3.0966130848612039</v>
      </c>
      <c r="R33" s="3">
        <v>5.4686257017736253</v>
      </c>
      <c r="S33" s="3">
        <v>10.71378427832952</v>
      </c>
      <c r="T33" s="3">
        <v>8.2186303334369715</v>
      </c>
      <c r="U33" s="3">
        <v>3.459266198479761</v>
      </c>
      <c r="V33" s="3">
        <v>2.037050826880209</v>
      </c>
      <c r="W33" s="3">
        <v>1.4769597248155111</v>
      </c>
      <c r="X33" s="3">
        <v>1.223782448282275</v>
      </c>
      <c r="Y33" s="3">
        <v>1.102946490404455</v>
      </c>
      <c r="Z33" s="4">
        <v>2.7210261489874429E-2</v>
      </c>
      <c r="AA33" s="4">
        <v>9.4464513920276896E-2</v>
      </c>
      <c r="AB33" s="4">
        <v>0.16740387382461089</v>
      </c>
      <c r="AC33" s="4">
        <v>0.20182711845858661</v>
      </c>
      <c r="AD33" s="4">
        <v>0.18616076512961721</v>
      </c>
      <c r="AE33" s="4">
        <v>0.14007216809860701</v>
      </c>
      <c r="AF33" s="4">
        <v>8.9523597476326197E-2</v>
      </c>
      <c r="AG33" s="4">
        <v>4.9971669811610511E-2</v>
      </c>
      <c r="AH33" s="4">
        <v>2.4860832284476438E-2</v>
      </c>
      <c r="AI33" s="5" t="s">
        <v>93</v>
      </c>
      <c r="AJ33" s="3"/>
      <c r="AK33" s="5"/>
      <c r="AL33" s="8"/>
      <c r="AM33" s="8"/>
      <c r="AN33" s="8"/>
      <c r="AO33" s="8"/>
      <c r="AP33" s="8"/>
      <c r="AQ33" s="4" t="str">
        <f t="shared" si="0"/>
        <v/>
      </c>
      <c r="AR33" s="3" t="str">
        <f t="shared" si="1"/>
        <v/>
      </c>
      <c r="AS33" s="3" t="str">
        <f t="shared" si="2"/>
        <v/>
      </c>
      <c r="AT33" s="4" t="str">
        <f t="shared" si="3"/>
        <v/>
      </c>
      <c r="AU33" s="4" t="str">
        <f t="shared" si="4"/>
        <v/>
      </c>
      <c r="AV33" s="5" t="str">
        <f t="shared" si="5"/>
        <v/>
      </c>
      <c r="AW33" s="4" t="str">
        <f t="shared" si="6"/>
        <v/>
      </c>
      <c r="AX33" s="5" t="str">
        <f t="shared" si="7"/>
        <v/>
      </c>
      <c r="AY33" s="7" t="str">
        <f t="shared" si="8"/>
        <v/>
      </c>
      <c r="AZ33" s="8"/>
    </row>
    <row r="34" spans="1:52" x14ac:dyDescent="0.2">
      <c r="A34" s="2" t="s">
        <v>60</v>
      </c>
      <c r="B34" s="2" t="s">
        <v>117</v>
      </c>
      <c r="C34" s="2" t="s">
        <v>118</v>
      </c>
      <c r="D34" s="2" t="s">
        <v>139</v>
      </c>
      <c r="E34" s="2" t="s">
        <v>140</v>
      </c>
      <c r="F34" s="3">
        <v>3.55</v>
      </c>
      <c r="G34" s="3">
        <v>3.3153997125504229</v>
      </c>
      <c r="H34" s="4">
        <v>0.83377429642299028</v>
      </c>
      <c r="I34" s="4">
        <v>0.6348602360022283</v>
      </c>
      <c r="J34" s="4">
        <v>0.42069004209221528</v>
      </c>
      <c r="K34" s="4">
        <v>0.24427029445010209</v>
      </c>
      <c r="L34" s="4">
        <v>0.125723333969636</v>
      </c>
      <c r="M34" s="4">
        <v>5.8059651578024167E-2</v>
      </c>
      <c r="N34" s="3">
        <v>1.1993653489801031</v>
      </c>
      <c r="O34" s="3">
        <v>1.575149841321122</v>
      </c>
      <c r="P34" s="3">
        <v>2.3770469940926251</v>
      </c>
      <c r="Q34" s="3">
        <v>4.0938256624743774</v>
      </c>
      <c r="R34" s="3">
        <v>7.9539729692621313</v>
      </c>
      <c r="S34" s="3">
        <v>17.223665192963441</v>
      </c>
      <c r="T34" s="3">
        <v>6.0159167835118588</v>
      </c>
      <c r="U34" s="3">
        <v>2.738677346590229</v>
      </c>
      <c r="V34" s="3">
        <v>1.7261916291091639</v>
      </c>
      <c r="W34" s="3">
        <v>1.3232244182757931</v>
      </c>
      <c r="X34" s="3">
        <v>1.1438026872437079</v>
      </c>
      <c r="Y34" s="3">
        <v>1.0616383528694691</v>
      </c>
      <c r="Z34" s="4">
        <v>4.05390560837404E-2</v>
      </c>
      <c r="AA34" s="4">
        <v>0.12568664749326941</v>
      </c>
      <c r="AB34" s="4">
        <v>0.1989140604207619</v>
      </c>
      <c r="AC34" s="4">
        <v>0.21417019391001299</v>
      </c>
      <c r="AD34" s="4">
        <v>0.17641974764211321</v>
      </c>
      <c r="AE34" s="4">
        <v>0.1185469604804661</v>
      </c>
      <c r="AF34" s="4">
        <v>6.7663682391611787E-2</v>
      </c>
      <c r="AG34" s="4">
        <v>3.3730400371853819E-2</v>
      </c>
      <c r="AH34" s="4">
        <v>1.4986245034538329E-2</v>
      </c>
      <c r="AI34" s="5" t="s">
        <v>93</v>
      </c>
      <c r="AJ34" s="3"/>
      <c r="AK34" s="5"/>
      <c r="AL34" s="8"/>
      <c r="AM34" s="8"/>
      <c r="AN34" s="8"/>
      <c r="AO34" s="8"/>
      <c r="AP34" s="8"/>
      <c r="AQ34" s="4" t="str">
        <f t="shared" si="0"/>
        <v/>
      </c>
      <c r="AR34" s="3" t="str">
        <f t="shared" si="1"/>
        <v/>
      </c>
      <c r="AS34" s="3" t="str">
        <f t="shared" si="2"/>
        <v/>
      </c>
      <c r="AT34" s="4" t="str">
        <f t="shared" si="3"/>
        <v/>
      </c>
      <c r="AU34" s="4" t="str">
        <f t="shared" si="4"/>
        <v/>
      </c>
      <c r="AV34" s="5" t="str">
        <f t="shared" si="5"/>
        <v/>
      </c>
      <c r="AW34" s="4" t="str">
        <f t="shared" si="6"/>
        <v/>
      </c>
      <c r="AX34" s="5" t="str">
        <f t="shared" si="7"/>
        <v/>
      </c>
      <c r="AY34" s="7" t="str">
        <f t="shared" si="8"/>
        <v/>
      </c>
      <c r="AZ34" s="8"/>
    </row>
    <row r="35" spans="1:52" x14ac:dyDescent="0.2">
      <c r="A35" s="2" t="s">
        <v>60</v>
      </c>
      <c r="B35" s="2" t="s">
        <v>117</v>
      </c>
      <c r="C35" s="2" t="s">
        <v>118</v>
      </c>
      <c r="D35" s="2" t="s">
        <v>141</v>
      </c>
      <c r="E35" s="2" t="s">
        <v>142</v>
      </c>
      <c r="F35" s="3">
        <v>3.55</v>
      </c>
      <c r="G35" s="3">
        <v>3.550623453266069</v>
      </c>
      <c r="H35" s="4">
        <v>0.85986411858606959</v>
      </c>
      <c r="I35" s="4">
        <v>0.67835292508140022</v>
      </c>
      <c r="J35" s="4">
        <v>0.47001326473300731</v>
      </c>
      <c r="K35" s="4">
        <v>0.28706212868749109</v>
      </c>
      <c r="L35" s="4">
        <v>0.15600720873141841</v>
      </c>
      <c r="M35" s="4">
        <v>7.6264032909375779E-2</v>
      </c>
      <c r="N35" s="3">
        <v>1.1629744495495</v>
      </c>
      <c r="O35" s="3">
        <v>1.474158897273131</v>
      </c>
      <c r="P35" s="3">
        <v>2.1275995275751489</v>
      </c>
      <c r="Q35" s="3">
        <v>3.4835664480445812</v>
      </c>
      <c r="R35" s="3">
        <v>6.4099602071696413</v>
      </c>
      <c r="S35" s="3">
        <v>13.112340927318851</v>
      </c>
      <c r="T35" s="3">
        <v>7.1359311399071386</v>
      </c>
      <c r="U35" s="3">
        <v>3.1089976498405059</v>
      </c>
      <c r="V35" s="3">
        <v>1.886839676272704</v>
      </c>
      <c r="W35" s="3">
        <v>1.402646766623596</v>
      </c>
      <c r="X35" s="3">
        <v>1.1848442431563051</v>
      </c>
      <c r="Y35" s="3">
        <v>1.082560423786004</v>
      </c>
      <c r="Z35" s="4">
        <v>3.2550793329664263E-2</v>
      </c>
      <c r="AA35" s="4">
        <v>0.1075850880842662</v>
      </c>
      <c r="AB35" s="4">
        <v>0.1815111935046694</v>
      </c>
      <c r="AC35" s="4">
        <v>0.20833966034839291</v>
      </c>
      <c r="AD35" s="4">
        <v>0.18295113604551619</v>
      </c>
      <c r="AE35" s="4">
        <v>0.1310549199560728</v>
      </c>
      <c r="AF35" s="4">
        <v>7.9743175822042642E-2</v>
      </c>
      <c r="AG35" s="4">
        <v>4.2377407719337103E-2</v>
      </c>
      <c r="AH35" s="4">
        <v>2.0071540780193339E-2</v>
      </c>
      <c r="AI35" s="5" t="s">
        <v>93</v>
      </c>
      <c r="AJ35" s="3"/>
      <c r="AK35" s="5"/>
      <c r="AL35" s="8"/>
      <c r="AM35" s="8"/>
      <c r="AN35" s="8"/>
      <c r="AO35" s="8"/>
      <c r="AP35" s="8"/>
      <c r="AQ35" s="4" t="str">
        <f t="shared" si="0"/>
        <v/>
      </c>
      <c r="AR35" s="3" t="str">
        <f t="shared" si="1"/>
        <v/>
      </c>
      <c r="AS35" s="3" t="str">
        <f t="shared" si="2"/>
        <v/>
      </c>
      <c r="AT35" s="4" t="str">
        <f t="shared" si="3"/>
        <v/>
      </c>
      <c r="AU35" s="4" t="str">
        <f t="shared" si="4"/>
        <v/>
      </c>
      <c r="AV35" s="5" t="str">
        <f t="shared" si="5"/>
        <v/>
      </c>
      <c r="AW35" s="4" t="str">
        <f t="shared" si="6"/>
        <v/>
      </c>
      <c r="AX35" s="5" t="str">
        <f t="shared" si="7"/>
        <v/>
      </c>
      <c r="AY35" s="7" t="str">
        <f t="shared" si="8"/>
        <v/>
      </c>
      <c r="AZ35" s="8"/>
    </row>
    <row r="36" spans="1:52" x14ac:dyDescent="0.2">
      <c r="A36" s="2" t="s">
        <v>60</v>
      </c>
      <c r="B36" s="2" t="s">
        <v>143</v>
      </c>
      <c r="C36" s="2" t="s">
        <v>144</v>
      </c>
      <c r="D36" s="2" t="s">
        <v>145</v>
      </c>
      <c r="E36" s="2" t="s">
        <v>146</v>
      </c>
      <c r="F36" s="3">
        <v>3.7010869565217388</v>
      </c>
      <c r="G36" s="3">
        <v>3.517626976353589</v>
      </c>
      <c r="H36" s="4">
        <v>0.85645194082482345</v>
      </c>
      <c r="I36" s="4">
        <v>0.67250366456552291</v>
      </c>
      <c r="J36" s="4">
        <v>0.46319435230076977</v>
      </c>
      <c r="K36" s="4">
        <v>0.2809827620746449</v>
      </c>
      <c r="L36" s="4">
        <v>0.15158746078633389</v>
      </c>
      <c r="M36" s="4">
        <v>7.3535648175023116E-2</v>
      </c>
      <c r="N36" s="3">
        <v>1.1676078391940241</v>
      </c>
      <c r="O36" s="3">
        <v>1.4869807447756569</v>
      </c>
      <c r="P36" s="3">
        <v>2.1589209692061662</v>
      </c>
      <c r="Q36" s="3">
        <v>3.5589371839627071</v>
      </c>
      <c r="R36" s="3">
        <v>6.5968517106406557</v>
      </c>
      <c r="S36" s="3">
        <v>13.59884661137259</v>
      </c>
      <c r="T36" s="3">
        <v>6.9663080486491724</v>
      </c>
      <c r="U36" s="3">
        <v>3.0534692813381792</v>
      </c>
      <c r="V36" s="3">
        <v>1.862871607789595</v>
      </c>
      <c r="W36" s="3">
        <v>1.3907872402133079</v>
      </c>
      <c r="X36" s="3">
        <v>1.1786718769230231</v>
      </c>
      <c r="Y36" s="3">
        <v>1.079372345012704</v>
      </c>
      <c r="Z36" s="4">
        <v>3.3566442077165713E-2</v>
      </c>
      <c r="AA36" s="4">
        <v>0.1099816170980108</v>
      </c>
      <c r="AB36" s="4">
        <v>0.1839482762593006</v>
      </c>
      <c r="AC36" s="4">
        <v>0.20930931226475311</v>
      </c>
      <c r="AD36" s="4">
        <v>0.1822115902261249</v>
      </c>
      <c r="AE36" s="4">
        <v>0.129395301288311</v>
      </c>
      <c r="AF36" s="4">
        <v>7.8051812611310792E-2</v>
      </c>
      <c r="AG36" s="4">
        <v>4.1119529923849207E-2</v>
      </c>
      <c r="AH36" s="4">
        <v>1.9307175991398608E-2</v>
      </c>
      <c r="AI36" s="5" t="s">
        <v>93</v>
      </c>
      <c r="AJ36" s="3"/>
      <c r="AK36" s="5"/>
      <c r="AL36" s="8"/>
      <c r="AM36" s="8"/>
      <c r="AN36" s="8"/>
      <c r="AO36" s="8"/>
      <c r="AP36" s="8"/>
      <c r="AQ36" s="4" t="str">
        <f t="shared" si="0"/>
        <v/>
      </c>
      <c r="AR36" s="3" t="str">
        <f t="shared" si="1"/>
        <v/>
      </c>
      <c r="AS36" s="3" t="str">
        <f t="shared" si="2"/>
        <v/>
      </c>
      <c r="AT36" s="4" t="str">
        <f t="shared" si="3"/>
        <v/>
      </c>
      <c r="AU36" s="4" t="str">
        <f t="shared" si="4"/>
        <v/>
      </c>
      <c r="AV36" s="5" t="str">
        <f t="shared" si="5"/>
        <v/>
      </c>
      <c r="AW36" s="4" t="str">
        <f t="shared" si="6"/>
        <v/>
      </c>
      <c r="AX36" s="5" t="str">
        <f t="shared" si="7"/>
        <v/>
      </c>
      <c r="AY36" s="7" t="str">
        <f t="shared" si="8"/>
        <v/>
      </c>
      <c r="AZ36" s="8"/>
    </row>
    <row r="37" spans="1:52" x14ac:dyDescent="0.2">
      <c r="A37" s="2" t="s">
        <v>60</v>
      </c>
      <c r="B37" s="2" t="s">
        <v>143</v>
      </c>
      <c r="C37" s="2" t="s">
        <v>144</v>
      </c>
      <c r="D37" s="2" t="s">
        <v>147</v>
      </c>
      <c r="E37" s="2" t="s">
        <v>148</v>
      </c>
      <c r="F37" s="3">
        <v>3.7010869565217388</v>
      </c>
      <c r="G37" s="3">
        <v>3.3784037259779391</v>
      </c>
      <c r="H37" s="4">
        <v>0.84117609936784032</v>
      </c>
      <c r="I37" s="4">
        <v>0.64691986627757703</v>
      </c>
      <c r="J37" s="4">
        <v>0.43405242051141679</v>
      </c>
      <c r="K37" s="4">
        <v>0.2555935439877467</v>
      </c>
      <c r="L37" s="4">
        <v>0.13354794582698731</v>
      </c>
      <c r="M37" s="4">
        <v>6.2650912067980569E-2</v>
      </c>
      <c r="N37" s="3">
        <v>1.1888117134468259</v>
      </c>
      <c r="O37" s="3">
        <v>1.545786506378404</v>
      </c>
      <c r="P37" s="3">
        <v>2.3038691935452471</v>
      </c>
      <c r="Q37" s="3">
        <v>3.9124618892875498</v>
      </c>
      <c r="R37" s="3">
        <v>7.4879474469454612</v>
      </c>
      <c r="S37" s="3">
        <v>15.961459570052719</v>
      </c>
      <c r="T37" s="3">
        <v>6.2962815799117431</v>
      </c>
      <c r="U37" s="3">
        <v>2.8322182544151819</v>
      </c>
      <c r="V37" s="3">
        <v>1.7669480995106419</v>
      </c>
      <c r="W37" s="3">
        <v>1.3433521323242521</v>
      </c>
      <c r="X37" s="3">
        <v>1.154131951310857</v>
      </c>
      <c r="Y37" s="3">
        <v>1.066838398708214</v>
      </c>
      <c r="Z37" s="4">
        <v>3.8220963828616519E-2</v>
      </c>
      <c r="AA37" s="4">
        <v>0.1206029368035431</v>
      </c>
      <c r="AB37" s="4">
        <v>0.1942562330902633</v>
      </c>
      <c r="AC37" s="4">
        <v>0.21286744576616021</v>
      </c>
      <c r="AD37" s="4">
        <v>0.1784588765236701</v>
      </c>
      <c r="AE37" s="4">
        <v>0.1220455981607594</v>
      </c>
      <c r="AF37" s="4">
        <v>7.0897033759006745E-2</v>
      </c>
      <c r="AG37" s="4">
        <v>3.5969522382319173E-2</v>
      </c>
      <c r="AH37" s="4">
        <v>1.6264725691096989E-2</v>
      </c>
      <c r="AI37" s="5" t="s">
        <v>93</v>
      </c>
      <c r="AJ37" s="3"/>
      <c r="AK37" s="5"/>
      <c r="AL37" s="8"/>
      <c r="AM37" s="8"/>
      <c r="AN37" s="8"/>
      <c r="AO37" s="8"/>
      <c r="AP37" s="8"/>
      <c r="AQ37" s="4" t="str">
        <f t="shared" si="0"/>
        <v/>
      </c>
      <c r="AR37" s="3" t="str">
        <f t="shared" si="1"/>
        <v/>
      </c>
      <c r="AS37" s="3" t="str">
        <f t="shared" si="2"/>
        <v/>
      </c>
      <c r="AT37" s="4" t="str">
        <f t="shared" si="3"/>
        <v/>
      </c>
      <c r="AU37" s="4" t="str">
        <f t="shared" si="4"/>
        <v/>
      </c>
      <c r="AV37" s="5" t="str">
        <f t="shared" si="5"/>
        <v/>
      </c>
      <c r="AW37" s="4" t="str">
        <f t="shared" si="6"/>
        <v/>
      </c>
      <c r="AX37" s="5" t="str">
        <f t="shared" si="7"/>
        <v/>
      </c>
      <c r="AY37" s="7" t="str">
        <f t="shared" si="8"/>
        <v/>
      </c>
      <c r="AZ37" s="8"/>
    </row>
    <row r="38" spans="1:52" x14ac:dyDescent="0.2">
      <c r="A38" s="2" t="s">
        <v>60</v>
      </c>
      <c r="B38" s="2" t="s">
        <v>143</v>
      </c>
      <c r="C38" s="2" t="s">
        <v>144</v>
      </c>
      <c r="D38" s="2" t="s">
        <v>149</v>
      </c>
      <c r="E38" s="2" t="s">
        <v>150</v>
      </c>
      <c r="F38" s="3">
        <v>3.7010869565217388</v>
      </c>
      <c r="G38" s="3">
        <v>3.8197221182295489</v>
      </c>
      <c r="H38" s="4">
        <v>0.88496334097935769</v>
      </c>
      <c r="I38" s="4">
        <v>0.72303823487685792</v>
      </c>
      <c r="J38" s="4">
        <v>0.52413575379805866</v>
      </c>
      <c r="K38" s="4">
        <v>0.33721357693446929</v>
      </c>
      <c r="L38" s="4">
        <v>0.19391676780475839</v>
      </c>
      <c r="M38" s="4">
        <v>0.1006054787945927</v>
      </c>
      <c r="N38" s="3">
        <v>1.1299903099865529</v>
      </c>
      <c r="O38" s="3">
        <v>1.383052723581502</v>
      </c>
      <c r="P38" s="3">
        <v>1.9079026621513111</v>
      </c>
      <c r="Q38" s="3">
        <v>2.9654796496949172</v>
      </c>
      <c r="R38" s="3">
        <v>5.1568516292868072</v>
      </c>
      <c r="S38" s="3">
        <v>9.9398165187575014</v>
      </c>
      <c r="T38" s="3">
        <v>8.692881108626068</v>
      </c>
      <c r="U38" s="3">
        <v>3.6106066826783199</v>
      </c>
      <c r="V38" s="3">
        <v>2.101439660536363</v>
      </c>
      <c r="W38" s="3">
        <v>1.5087816605759421</v>
      </c>
      <c r="X38" s="3">
        <v>1.2405666810320031</v>
      </c>
      <c r="Y38" s="3">
        <v>1.111859119021269</v>
      </c>
      <c r="Z38" s="4">
        <v>2.535463797659079E-2</v>
      </c>
      <c r="AA38" s="4">
        <v>8.9682021044051555E-2</v>
      </c>
      <c r="AB38" s="4">
        <v>0.16192510610249969</v>
      </c>
      <c r="AC38" s="4">
        <v>0.19890248107879929</v>
      </c>
      <c r="AD38" s="4">
        <v>0.18692217686358939</v>
      </c>
      <c r="AE38" s="4">
        <v>0.14329680912971091</v>
      </c>
      <c r="AF38" s="4">
        <v>9.3311289010165666E-2</v>
      </c>
      <c r="AG38" s="4">
        <v>5.3067975355413292E-2</v>
      </c>
      <c r="AH38" s="4">
        <v>2.6899011146921638E-2</v>
      </c>
      <c r="AI38" s="5" t="s">
        <v>93</v>
      </c>
      <c r="AJ38" s="3"/>
      <c r="AK38" s="5"/>
      <c r="AL38" s="8"/>
      <c r="AM38" s="8"/>
      <c r="AN38" s="8"/>
      <c r="AO38" s="8"/>
      <c r="AP38" s="8"/>
      <c r="AQ38" s="4" t="str">
        <f t="shared" si="0"/>
        <v/>
      </c>
      <c r="AR38" s="3" t="str">
        <f t="shared" si="1"/>
        <v/>
      </c>
      <c r="AS38" s="3" t="str">
        <f t="shared" si="2"/>
        <v/>
      </c>
      <c r="AT38" s="4" t="str">
        <f t="shared" si="3"/>
        <v/>
      </c>
      <c r="AU38" s="4" t="str">
        <f t="shared" si="4"/>
        <v/>
      </c>
      <c r="AV38" s="5" t="str">
        <f t="shared" si="5"/>
        <v/>
      </c>
      <c r="AW38" s="4" t="str">
        <f t="shared" si="6"/>
        <v/>
      </c>
      <c r="AX38" s="5" t="str">
        <f t="shared" si="7"/>
        <v/>
      </c>
      <c r="AY38" s="7" t="str">
        <f t="shared" si="8"/>
        <v/>
      </c>
      <c r="AZ38" s="8"/>
    </row>
    <row r="39" spans="1:52" x14ac:dyDescent="0.2">
      <c r="A39" s="2" t="s">
        <v>60</v>
      </c>
      <c r="B39" s="2" t="s">
        <v>143</v>
      </c>
      <c r="C39" s="2" t="s">
        <v>144</v>
      </c>
      <c r="D39" s="2" t="s">
        <v>151</v>
      </c>
      <c r="E39" s="2" t="s">
        <v>152</v>
      </c>
      <c r="F39" s="3">
        <v>3.7010869565217388</v>
      </c>
      <c r="G39" s="3">
        <v>3.846748488033735</v>
      </c>
      <c r="H39" s="4">
        <v>0.88723309416342444</v>
      </c>
      <c r="I39" s="4">
        <v>0.72723400159804097</v>
      </c>
      <c r="J39" s="4">
        <v>0.52941033123808845</v>
      </c>
      <c r="K39" s="4">
        <v>0.3422845568470867</v>
      </c>
      <c r="L39" s="4">
        <v>0.19789225960217541</v>
      </c>
      <c r="M39" s="4">
        <v>0.103251891540691</v>
      </c>
      <c r="N39" s="3">
        <v>1.127099526131748</v>
      </c>
      <c r="O39" s="3">
        <v>1.375073219627488</v>
      </c>
      <c r="P39" s="3">
        <v>1.888894003374249</v>
      </c>
      <c r="Q39" s="3">
        <v>2.9215457723578901</v>
      </c>
      <c r="R39" s="3">
        <v>5.0532547458415458</v>
      </c>
      <c r="S39" s="3">
        <v>9.6850525939847323</v>
      </c>
      <c r="T39" s="3">
        <v>8.8678499474768184</v>
      </c>
      <c r="U39" s="3">
        <v>3.666146095402842</v>
      </c>
      <c r="V39" s="3">
        <v>2.1249935270167111</v>
      </c>
      <c r="W39" s="3">
        <v>1.520414353061661</v>
      </c>
      <c r="X39" s="3">
        <v>1.2467153097213921</v>
      </c>
      <c r="Y39" s="3">
        <v>1.1151403505250621</v>
      </c>
      <c r="Z39" s="4">
        <v>2.4728130950322939E-2</v>
      </c>
      <c r="AA39" s="4">
        <v>8.8038774886252599E-2</v>
      </c>
      <c r="AB39" s="4">
        <v>0.1599990925653835</v>
      </c>
      <c r="AC39" s="4">
        <v>0.19782367035995249</v>
      </c>
      <c r="AD39" s="4">
        <v>0.18712577439100181</v>
      </c>
      <c r="AE39" s="4">
        <v>0.14439229724491129</v>
      </c>
      <c r="AF39" s="4">
        <v>9.4640368061484362E-2</v>
      </c>
      <c r="AG39" s="4">
        <v>5.4176316821163951E-2</v>
      </c>
      <c r="AH39" s="4">
        <v>2.7640633846053551E-2</v>
      </c>
      <c r="AI39" s="5" t="s">
        <v>93</v>
      </c>
      <c r="AJ39" s="3"/>
      <c r="AK39" s="5"/>
      <c r="AL39" s="8"/>
      <c r="AM39" s="8"/>
      <c r="AN39" s="8"/>
      <c r="AO39" s="8"/>
      <c r="AP39" s="8"/>
      <c r="AQ39" s="4" t="str">
        <f t="shared" si="0"/>
        <v/>
      </c>
      <c r="AR39" s="3" t="str">
        <f t="shared" si="1"/>
        <v/>
      </c>
      <c r="AS39" s="3" t="str">
        <f t="shared" si="2"/>
        <v/>
      </c>
      <c r="AT39" s="4" t="str">
        <f t="shared" si="3"/>
        <v/>
      </c>
      <c r="AU39" s="4" t="str">
        <f t="shared" si="4"/>
        <v/>
      </c>
      <c r="AV39" s="5" t="str">
        <f t="shared" si="5"/>
        <v/>
      </c>
      <c r="AW39" s="4" t="str">
        <f t="shared" si="6"/>
        <v/>
      </c>
      <c r="AX39" s="5" t="str">
        <f t="shared" si="7"/>
        <v/>
      </c>
      <c r="AY39" s="7" t="str">
        <f t="shared" si="8"/>
        <v/>
      </c>
      <c r="AZ39" s="8"/>
    </row>
    <row r="40" spans="1:52" x14ac:dyDescent="0.2">
      <c r="A40" s="2" t="s">
        <v>60</v>
      </c>
      <c r="B40" s="2" t="s">
        <v>143</v>
      </c>
      <c r="C40" s="2" t="s">
        <v>144</v>
      </c>
      <c r="D40" s="2" t="s">
        <v>153</v>
      </c>
      <c r="E40" s="2" t="s">
        <v>154</v>
      </c>
      <c r="F40" s="3">
        <v>3.7010869565217388</v>
      </c>
      <c r="G40" s="3">
        <v>3.4549574189353289</v>
      </c>
      <c r="H40" s="4">
        <v>0.84975486090174801</v>
      </c>
      <c r="I40" s="4">
        <v>0.66116865050903184</v>
      </c>
      <c r="J40" s="4">
        <v>0.45014734515168808</v>
      </c>
      <c r="K40" s="4">
        <v>0.26949762366544211</v>
      </c>
      <c r="L40" s="4">
        <v>0.14334294910981571</v>
      </c>
      <c r="M40" s="4">
        <v>6.8510255478612336E-2</v>
      </c>
      <c r="N40" s="3">
        <v>1.176809978984779</v>
      </c>
      <c r="O40" s="3">
        <v>1.512473404826594</v>
      </c>
      <c r="P40" s="3">
        <v>2.2214948300162161</v>
      </c>
      <c r="Q40" s="3">
        <v>3.710607857683426</v>
      </c>
      <c r="R40" s="3">
        <v>6.9762761699139819</v>
      </c>
      <c r="S40" s="3">
        <v>14.596354852481641</v>
      </c>
      <c r="T40" s="3">
        <v>6.6557893719680044</v>
      </c>
      <c r="U40" s="3">
        <v>2.9513207721254719</v>
      </c>
      <c r="V40" s="3">
        <v>1.8186690401192489</v>
      </c>
      <c r="W40" s="3">
        <v>1.3689209404323921</v>
      </c>
      <c r="X40" s="3">
        <v>1.167328277939069</v>
      </c>
      <c r="Y40" s="3">
        <v>1.0735491248095419</v>
      </c>
      <c r="Z40" s="4">
        <v>3.5585447705582307E-2</v>
      </c>
      <c r="AA40" s="4">
        <v>0.1146596913926697</v>
      </c>
      <c r="AB40" s="4">
        <v>0.18858621039271611</v>
      </c>
      <c r="AC40" s="4">
        <v>0.21102130535734381</v>
      </c>
      <c r="AD40" s="4">
        <v>0.180649721486246</v>
      </c>
      <c r="AE40" s="4">
        <v>0.1261546745556264</v>
      </c>
      <c r="AF40" s="4">
        <v>7.4832693631203387E-2</v>
      </c>
      <c r="AG40" s="4">
        <v>3.8768595657685319E-2</v>
      </c>
      <c r="AH40" s="4">
        <v>1.7900873648714351E-2</v>
      </c>
      <c r="AI40" s="5" t="s">
        <v>93</v>
      </c>
      <c r="AJ40" s="3"/>
      <c r="AK40" s="5"/>
      <c r="AL40" s="8"/>
      <c r="AM40" s="8"/>
      <c r="AN40" s="8"/>
      <c r="AO40" s="8"/>
      <c r="AP40" s="8"/>
      <c r="AQ40" s="4" t="str">
        <f t="shared" si="0"/>
        <v/>
      </c>
      <c r="AR40" s="3" t="str">
        <f t="shared" si="1"/>
        <v/>
      </c>
      <c r="AS40" s="3" t="str">
        <f t="shared" si="2"/>
        <v/>
      </c>
      <c r="AT40" s="4" t="str">
        <f t="shared" si="3"/>
        <v/>
      </c>
      <c r="AU40" s="4" t="str">
        <f t="shared" si="4"/>
        <v/>
      </c>
      <c r="AV40" s="5" t="str">
        <f t="shared" si="5"/>
        <v/>
      </c>
      <c r="AW40" s="4" t="str">
        <f t="shared" si="6"/>
        <v/>
      </c>
      <c r="AX40" s="5" t="str">
        <f t="shared" si="7"/>
        <v/>
      </c>
      <c r="AY40" s="7" t="str">
        <f t="shared" si="8"/>
        <v/>
      </c>
      <c r="AZ40" s="8"/>
    </row>
    <row r="41" spans="1:52" x14ac:dyDescent="0.2">
      <c r="A41" s="2" t="s">
        <v>60</v>
      </c>
      <c r="B41" s="2" t="s">
        <v>143</v>
      </c>
      <c r="C41" s="2" t="s">
        <v>144</v>
      </c>
      <c r="D41" s="2" t="s">
        <v>155</v>
      </c>
      <c r="E41" s="2" t="s">
        <v>156</v>
      </c>
      <c r="F41" s="3">
        <v>3.7010869565217388</v>
      </c>
      <c r="G41" s="3">
        <v>3.6919203588595462</v>
      </c>
      <c r="H41" s="4">
        <v>0.87362781100617104</v>
      </c>
      <c r="I41" s="4">
        <v>0.70248097587206648</v>
      </c>
      <c r="J41" s="4">
        <v>0.49878057327609482</v>
      </c>
      <c r="K41" s="4">
        <v>0.31329526268133479</v>
      </c>
      <c r="L41" s="4">
        <v>0.17551652039709251</v>
      </c>
      <c r="M41" s="4">
        <v>8.8585077203328533E-2</v>
      </c>
      <c r="N41" s="3">
        <v>1.1446522047509959</v>
      </c>
      <c r="O41" s="3">
        <v>1.423526094437775</v>
      </c>
      <c r="P41" s="3">
        <v>2.0048896319914622</v>
      </c>
      <c r="Q41" s="3">
        <v>3.1918771814214768</v>
      </c>
      <c r="R41" s="3">
        <v>5.6974693763161293</v>
      </c>
      <c r="S41" s="3">
        <v>11.2885830387065</v>
      </c>
      <c r="T41" s="3">
        <v>7.9131334826275124</v>
      </c>
      <c r="U41" s="3">
        <v>3.3611296048416679</v>
      </c>
      <c r="V41" s="3">
        <v>1.995134160174614</v>
      </c>
      <c r="W41" s="3">
        <v>1.4562299422960729</v>
      </c>
      <c r="X41" s="3">
        <v>1.212880578858446</v>
      </c>
      <c r="Y41" s="3">
        <v>1.09719511386922</v>
      </c>
      <c r="Z41" s="4">
        <v>2.8544213880173801E-2</v>
      </c>
      <c r="AA41" s="4">
        <v>9.7827975113655194E-2</v>
      </c>
      <c r="AB41" s="4">
        <v>0.1711468351341045</v>
      </c>
      <c r="AC41" s="4">
        <v>0.20370040259597161</v>
      </c>
      <c r="AD41" s="4">
        <v>0.18548531059476009</v>
      </c>
      <c r="AE41" s="4">
        <v>0.13777874228424219</v>
      </c>
      <c r="AF41" s="4">
        <v>8.6931443193763988E-2</v>
      </c>
      <c r="AG41" s="4">
        <v>4.7904049144258408E-2</v>
      </c>
      <c r="AH41" s="4">
        <v>2.3527350635296072E-2</v>
      </c>
      <c r="AI41" s="5" t="s">
        <v>93</v>
      </c>
      <c r="AJ41" s="3"/>
      <c r="AK41" s="5"/>
      <c r="AL41" s="8"/>
      <c r="AM41" s="8"/>
      <c r="AN41" s="8"/>
      <c r="AO41" s="8"/>
      <c r="AP41" s="8"/>
      <c r="AQ41" s="4" t="str">
        <f t="shared" si="0"/>
        <v/>
      </c>
      <c r="AR41" s="3" t="str">
        <f t="shared" si="1"/>
        <v/>
      </c>
      <c r="AS41" s="3" t="str">
        <f t="shared" si="2"/>
        <v/>
      </c>
      <c r="AT41" s="4" t="str">
        <f t="shared" si="3"/>
        <v/>
      </c>
      <c r="AU41" s="4" t="str">
        <f t="shared" si="4"/>
        <v/>
      </c>
      <c r="AV41" s="5" t="str">
        <f t="shared" si="5"/>
        <v/>
      </c>
      <c r="AW41" s="4" t="str">
        <f t="shared" si="6"/>
        <v/>
      </c>
      <c r="AX41" s="5" t="str">
        <f t="shared" si="7"/>
        <v/>
      </c>
      <c r="AY41" s="7" t="str">
        <f t="shared" si="8"/>
        <v/>
      </c>
      <c r="AZ41" s="8"/>
    </row>
    <row r="42" spans="1:52" x14ac:dyDescent="0.2">
      <c r="A42" s="2" t="s">
        <v>60</v>
      </c>
      <c r="B42" s="2" t="s">
        <v>143</v>
      </c>
      <c r="C42" s="2" t="s">
        <v>144</v>
      </c>
      <c r="D42" s="2" t="s">
        <v>157</v>
      </c>
      <c r="E42" s="2" t="s">
        <v>158</v>
      </c>
      <c r="F42" s="3">
        <v>3.7010869565217388</v>
      </c>
      <c r="G42" s="3">
        <v>3.5388224934985222</v>
      </c>
      <c r="H42" s="4">
        <v>0.85865265557379078</v>
      </c>
      <c r="I42" s="4">
        <v>0.67627036948737818</v>
      </c>
      <c r="J42" s="4">
        <v>0.46757867664287472</v>
      </c>
      <c r="K42" s="4">
        <v>0.28488551644943161</v>
      </c>
      <c r="L42" s="4">
        <v>0.15442037947053519</v>
      </c>
      <c r="M42" s="4">
        <v>7.5281728969678108E-2</v>
      </c>
      <c r="N42" s="3">
        <v>1.1646152766298199</v>
      </c>
      <c r="O42" s="3">
        <v>1.4786985281611751</v>
      </c>
      <c r="P42" s="3">
        <v>2.1386775102316649</v>
      </c>
      <c r="Q42" s="3">
        <v>3.510181958223574</v>
      </c>
      <c r="R42" s="3">
        <v>6.4758291841318059</v>
      </c>
      <c r="S42" s="3">
        <v>13.283435618259761</v>
      </c>
      <c r="T42" s="3">
        <v>7.0747703401110078</v>
      </c>
      <c r="U42" s="3">
        <v>3.0889974402914939</v>
      </c>
      <c r="V42" s="3">
        <v>1.878211777271819</v>
      </c>
      <c r="W42" s="3">
        <v>1.398377494796309</v>
      </c>
      <c r="X42" s="3">
        <v>1.1826207440688361</v>
      </c>
      <c r="Y42" s="3">
        <v>1.0814104482717739</v>
      </c>
      <c r="Z42" s="4">
        <v>3.2910379128735651E-2</v>
      </c>
      <c r="AA42" s="4">
        <v>0.1084369652974736</v>
      </c>
      <c r="AB42" s="4">
        <v>0.1823822860864126</v>
      </c>
      <c r="AC42" s="4">
        <v>0.20869169284450351</v>
      </c>
      <c r="AD42" s="4">
        <v>0.18269316019344309</v>
      </c>
      <c r="AE42" s="4">
        <v>0.13046513697889639</v>
      </c>
      <c r="AF42" s="4">
        <v>7.9138650500857097E-2</v>
      </c>
      <c r="AG42" s="4">
        <v>4.1926003556382548E-2</v>
      </c>
      <c r="AH42" s="4">
        <v>1.9796287827749798E-2</v>
      </c>
      <c r="AI42" s="5" t="s">
        <v>93</v>
      </c>
      <c r="AJ42" s="3"/>
      <c r="AK42" s="5"/>
      <c r="AL42" s="8"/>
      <c r="AM42" s="8"/>
      <c r="AN42" s="8"/>
      <c r="AO42" s="8"/>
      <c r="AP42" s="8"/>
      <c r="AQ42" s="4" t="str">
        <f t="shared" si="0"/>
        <v/>
      </c>
      <c r="AR42" s="3" t="str">
        <f t="shared" si="1"/>
        <v/>
      </c>
      <c r="AS42" s="3" t="str">
        <f t="shared" si="2"/>
        <v/>
      </c>
      <c r="AT42" s="4" t="str">
        <f t="shared" si="3"/>
        <v/>
      </c>
      <c r="AU42" s="4" t="str">
        <f t="shared" si="4"/>
        <v/>
      </c>
      <c r="AV42" s="5" t="str">
        <f t="shared" si="5"/>
        <v/>
      </c>
      <c r="AW42" s="4" t="str">
        <f t="shared" si="6"/>
        <v/>
      </c>
      <c r="AX42" s="5" t="str">
        <f t="shared" si="7"/>
        <v/>
      </c>
      <c r="AY42" s="7" t="str">
        <f t="shared" si="8"/>
        <v/>
      </c>
      <c r="AZ42" s="8"/>
    </row>
    <row r="43" spans="1:52" x14ac:dyDescent="0.2">
      <c r="A43" s="2" t="s">
        <v>60</v>
      </c>
      <c r="B43" s="2" t="s">
        <v>143</v>
      </c>
      <c r="C43" s="2" t="s">
        <v>144</v>
      </c>
      <c r="D43" s="2" t="s">
        <v>159</v>
      </c>
      <c r="E43" s="2" t="s">
        <v>160</v>
      </c>
      <c r="F43" s="3">
        <v>3.7010869565217388</v>
      </c>
      <c r="G43" s="3">
        <v>3.571045052061915</v>
      </c>
      <c r="H43" s="4">
        <v>0.86193744950907802</v>
      </c>
      <c r="I43" s="4">
        <v>0.68193212891892885</v>
      </c>
      <c r="J43" s="4">
        <v>0.47421518074760899</v>
      </c>
      <c r="K43" s="4">
        <v>0.29083468447424943</v>
      </c>
      <c r="L43" s="4">
        <v>0.158769174024459</v>
      </c>
      <c r="M43" s="4">
        <v>7.7981023830355101E-2</v>
      </c>
      <c r="N43" s="3">
        <v>1.1601769949426799</v>
      </c>
      <c r="O43" s="3">
        <v>1.466421594749181</v>
      </c>
      <c r="P43" s="3">
        <v>2.1087473379141541</v>
      </c>
      <c r="Q43" s="3">
        <v>3.4383794415983431</v>
      </c>
      <c r="R43" s="3">
        <v>6.2984518634955302</v>
      </c>
      <c r="S43" s="3">
        <v>12.823632608049159</v>
      </c>
      <c r="T43" s="3">
        <v>7.2430937748448514</v>
      </c>
      <c r="U43" s="3">
        <v>3.1439830643728039</v>
      </c>
      <c r="V43" s="3">
        <v>1.9019187382052829</v>
      </c>
      <c r="W43" s="3">
        <v>1.4101084445431951</v>
      </c>
      <c r="X43" s="3">
        <v>1.188734374825531</v>
      </c>
      <c r="Y43" s="3">
        <v>1.084576376241531</v>
      </c>
      <c r="Z43" s="4">
        <v>3.1937977014779302E-2</v>
      </c>
      <c r="AA43" s="4">
        <v>0.10612457347614269</v>
      </c>
      <c r="AB43" s="4">
        <v>0.1800053205901492</v>
      </c>
      <c r="AC43" s="4">
        <v>0.2077169481713198</v>
      </c>
      <c r="AD43" s="4">
        <v>0.18338049627335959</v>
      </c>
      <c r="AE43" s="4">
        <v>0.1320655104497904</v>
      </c>
      <c r="AF43" s="4">
        <v>8.0788150194103889E-2</v>
      </c>
      <c r="AG43" s="4">
        <v>4.3162498375604957E-2</v>
      </c>
      <c r="AH43" s="4">
        <v>2.0552797912010479E-2</v>
      </c>
      <c r="AI43" s="5" t="s">
        <v>93</v>
      </c>
      <c r="AJ43" s="3"/>
      <c r="AK43" s="5"/>
      <c r="AL43" s="8"/>
      <c r="AM43" s="8"/>
      <c r="AN43" s="8"/>
      <c r="AO43" s="8"/>
      <c r="AP43" s="8"/>
      <c r="AQ43" s="4" t="str">
        <f t="shared" si="0"/>
        <v/>
      </c>
      <c r="AR43" s="3" t="str">
        <f t="shared" si="1"/>
        <v/>
      </c>
      <c r="AS43" s="3" t="str">
        <f t="shared" si="2"/>
        <v/>
      </c>
      <c r="AT43" s="4" t="str">
        <f t="shared" si="3"/>
        <v/>
      </c>
      <c r="AU43" s="4" t="str">
        <f t="shared" si="4"/>
        <v/>
      </c>
      <c r="AV43" s="5" t="str">
        <f t="shared" si="5"/>
        <v/>
      </c>
      <c r="AW43" s="4" t="str">
        <f t="shared" si="6"/>
        <v/>
      </c>
      <c r="AX43" s="5" t="str">
        <f t="shared" si="7"/>
        <v/>
      </c>
      <c r="AY43" s="7" t="str">
        <f t="shared" si="8"/>
        <v/>
      </c>
      <c r="AZ43" s="8"/>
    </row>
    <row r="44" spans="1:52" x14ac:dyDescent="0.2">
      <c r="A44" s="2" t="s">
        <v>60</v>
      </c>
      <c r="B44" s="2" t="s">
        <v>143</v>
      </c>
      <c r="C44" s="2" t="s">
        <v>144</v>
      </c>
      <c r="D44" s="2" t="s">
        <v>161</v>
      </c>
      <c r="E44" s="2" t="s">
        <v>162</v>
      </c>
      <c r="F44" s="3">
        <v>3.7010869565217388</v>
      </c>
      <c r="G44" s="3">
        <v>4.105736452364507</v>
      </c>
      <c r="H44" s="4">
        <v>0.90691695548061557</v>
      </c>
      <c r="I44" s="4">
        <v>0.76483875761087528</v>
      </c>
      <c r="J44" s="4">
        <v>0.57828099365013663</v>
      </c>
      <c r="K44" s="4">
        <v>0.39087053000050498</v>
      </c>
      <c r="L44" s="4">
        <v>0.2372923903347158</v>
      </c>
      <c r="M44" s="4">
        <v>0.1303901149091132</v>
      </c>
      <c r="N44" s="3">
        <v>1.10263678935196</v>
      </c>
      <c r="O44" s="3">
        <v>1.307465122614468</v>
      </c>
      <c r="P44" s="3">
        <v>1.729263128099634</v>
      </c>
      <c r="Q44" s="3">
        <v>2.5583919053675088</v>
      </c>
      <c r="R44" s="3">
        <v>4.2142101505633498</v>
      </c>
      <c r="S44" s="3">
        <v>7.6692930341923331</v>
      </c>
      <c r="T44" s="3">
        <v>10.74309510570157</v>
      </c>
      <c r="U44" s="3">
        <v>4.2524014154734111</v>
      </c>
      <c r="V44" s="3">
        <v>2.3712471691882619</v>
      </c>
      <c r="W44" s="3">
        <v>1.6416871112816609</v>
      </c>
      <c r="X44" s="3">
        <v>1.31111842510507</v>
      </c>
      <c r="Y44" s="3">
        <v>1.149940930001601</v>
      </c>
      <c r="Z44" s="4">
        <v>1.946932559030615E-2</v>
      </c>
      <c r="AA44" s="4">
        <v>7.3613718929078309E-2</v>
      </c>
      <c r="AB44" s="4">
        <v>0.1420781978697403</v>
      </c>
      <c r="AC44" s="4">
        <v>0.18655776396073859</v>
      </c>
      <c r="AD44" s="4">
        <v>0.1874104636496316</v>
      </c>
      <c r="AE44" s="4">
        <v>0.15357813966578909</v>
      </c>
      <c r="AF44" s="4">
        <v>0.1069022754256026</v>
      </c>
      <c r="AG44" s="4">
        <v>6.4989793490260406E-2</v>
      </c>
      <c r="AH44" s="4">
        <v>3.5213470604549657E-2</v>
      </c>
      <c r="AI44" s="5" t="s">
        <v>93</v>
      </c>
      <c r="AJ44" s="3"/>
      <c r="AK44" s="5"/>
      <c r="AL44" s="8"/>
      <c r="AM44" s="8"/>
      <c r="AN44" s="8"/>
      <c r="AO44" s="8"/>
      <c r="AP44" s="8"/>
      <c r="AQ44" s="4" t="str">
        <f t="shared" si="0"/>
        <v/>
      </c>
      <c r="AR44" s="3" t="str">
        <f t="shared" si="1"/>
        <v/>
      </c>
      <c r="AS44" s="3" t="str">
        <f t="shared" si="2"/>
        <v/>
      </c>
      <c r="AT44" s="4" t="str">
        <f t="shared" si="3"/>
        <v/>
      </c>
      <c r="AU44" s="4" t="str">
        <f t="shared" si="4"/>
        <v/>
      </c>
      <c r="AV44" s="5" t="str">
        <f t="shared" si="5"/>
        <v/>
      </c>
      <c r="AW44" s="4" t="str">
        <f t="shared" si="6"/>
        <v/>
      </c>
      <c r="AX44" s="5" t="str">
        <f t="shared" si="7"/>
        <v/>
      </c>
      <c r="AY44" s="7" t="str">
        <f t="shared" si="8"/>
        <v/>
      </c>
      <c r="AZ44" s="8"/>
    </row>
    <row r="45" spans="1:52" x14ac:dyDescent="0.2">
      <c r="A45" s="2" t="s">
        <v>60</v>
      </c>
      <c r="B45" s="2" t="s">
        <v>143</v>
      </c>
      <c r="C45" s="2" t="s">
        <v>144</v>
      </c>
      <c r="D45" s="2" t="s">
        <v>163</v>
      </c>
      <c r="E45" s="2" t="s">
        <v>164</v>
      </c>
      <c r="F45" s="3">
        <v>3.7010869565217388</v>
      </c>
      <c r="G45" s="3">
        <v>3.580732338531337</v>
      </c>
      <c r="H45" s="4">
        <v>0.86291080699757183</v>
      </c>
      <c r="I45" s="4">
        <v>0.683619059918675</v>
      </c>
      <c r="J45" s="4">
        <v>0.4762034014455615</v>
      </c>
      <c r="K45" s="4">
        <v>0.29262676874733667</v>
      </c>
      <c r="L45" s="4">
        <v>0.16008635578667249</v>
      </c>
      <c r="M45" s="4">
        <v>7.8803076082414103E-2</v>
      </c>
      <c r="N45" s="3">
        <v>1.1588683232273089</v>
      </c>
      <c r="O45" s="3">
        <v>1.46280298287611</v>
      </c>
      <c r="P45" s="3">
        <v>2.0999430011721949</v>
      </c>
      <c r="Q45" s="3">
        <v>3.4173223600860378</v>
      </c>
      <c r="R45" s="3">
        <v>6.2466285467362228</v>
      </c>
      <c r="S45" s="3">
        <v>12.68985996123015</v>
      </c>
      <c r="T45" s="3">
        <v>7.2945210202111834</v>
      </c>
      <c r="U45" s="3">
        <v>3.1607466611071842</v>
      </c>
      <c r="V45" s="3">
        <v>1.909138018001217</v>
      </c>
      <c r="W45" s="3">
        <v>1.4136808629712121</v>
      </c>
      <c r="X45" s="3">
        <v>1.19059858937833</v>
      </c>
      <c r="Y45" s="3">
        <v>1.0855442240810871</v>
      </c>
      <c r="Z45" s="4">
        <v>3.1651410046018909E-2</v>
      </c>
      <c r="AA45" s="4">
        <v>0.1054377829564092</v>
      </c>
      <c r="AB45" s="4">
        <v>0.17929174707889689</v>
      </c>
      <c r="AC45" s="4">
        <v>0.2074156584731135</v>
      </c>
      <c r="AD45" s="4">
        <v>0.18357663269822469</v>
      </c>
      <c r="AE45" s="4">
        <v>0.13254041296066421</v>
      </c>
      <c r="AF45" s="4">
        <v>8.1283279704258374E-2</v>
      </c>
      <c r="AG45" s="4">
        <v>4.3536626979618111E-2</v>
      </c>
      <c r="AH45" s="4">
        <v>2.0783266436588441E-2</v>
      </c>
      <c r="AI45" s="5" t="s">
        <v>93</v>
      </c>
      <c r="AJ45" s="3"/>
      <c r="AK45" s="5"/>
      <c r="AL45" s="8"/>
      <c r="AM45" s="8"/>
      <c r="AN45" s="8"/>
      <c r="AO45" s="8"/>
      <c r="AP45" s="8"/>
      <c r="AQ45" s="4" t="str">
        <f t="shared" si="0"/>
        <v/>
      </c>
      <c r="AR45" s="3" t="str">
        <f t="shared" si="1"/>
        <v/>
      </c>
      <c r="AS45" s="3" t="str">
        <f t="shared" si="2"/>
        <v/>
      </c>
      <c r="AT45" s="4" t="str">
        <f t="shared" si="3"/>
        <v/>
      </c>
      <c r="AU45" s="4" t="str">
        <f t="shared" si="4"/>
        <v/>
      </c>
      <c r="AV45" s="5" t="str">
        <f t="shared" si="5"/>
        <v/>
      </c>
      <c r="AW45" s="4" t="str">
        <f t="shared" si="6"/>
        <v/>
      </c>
      <c r="AX45" s="5" t="str">
        <f t="shared" si="7"/>
        <v/>
      </c>
      <c r="AY45" s="7" t="str">
        <f t="shared" si="8"/>
        <v/>
      </c>
      <c r="AZ45" s="8"/>
    </row>
    <row r="46" spans="1:52" x14ac:dyDescent="0.2">
      <c r="A46" s="2" t="s">
        <v>60</v>
      </c>
      <c r="B46" s="2" t="s">
        <v>143</v>
      </c>
      <c r="C46" s="2" t="s">
        <v>144</v>
      </c>
      <c r="D46" s="2" t="s">
        <v>165</v>
      </c>
      <c r="E46" s="2" t="s">
        <v>166</v>
      </c>
      <c r="F46" s="3">
        <v>3.7010869565217388</v>
      </c>
      <c r="G46" s="3">
        <v>3.8155704105523651</v>
      </c>
      <c r="H46" s="4">
        <v>0.88461082970671445</v>
      </c>
      <c r="I46" s="4">
        <v>0.72238904528525194</v>
      </c>
      <c r="J46" s="4">
        <v>0.52332271322130386</v>
      </c>
      <c r="K46" s="4">
        <v>0.33643486063283728</v>
      </c>
      <c r="L46" s="4">
        <v>0.19330857740437729</v>
      </c>
      <c r="M46" s="4">
        <v>0.1002021436212088</v>
      </c>
      <c r="N46" s="3">
        <v>1.1304406032781009</v>
      </c>
      <c r="O46" s="3">
        <v>1.384295632009656</v>
      </c>
      <c r="P46" s="3">
        <v>1.910866803094629</v>
      </c>
      <c r="Q46" s="3">
        <v>2.9723435856765561</v>
      </c>
      <c r="R46" s="3">
        <v>5.173076194690136</v>
      </c>
      <c r="S46" s="3">
        <v>9.9798264174893312</v>
      </c>
      <c r="T46" s="3">
        <v>8.6663245559205624</v>
      </c>
      <c r="U46" s="3">
        <v>3.6021633261105421</v>
      </c>
      <c r="V46" s="3">
        <v>2.0978553577784869</v>
      </c>
      <c r="W46" s="3">
        <v>1.507011053886425</v>
      </c>
      <c r="X46" s="3">
        <v>1.2396313782318209</v>
      </c>
      <c r="Y46" s="3">
        <v>1.1113607272020729</v>
      </c>
      <c r="Z46" s="4">
        <v>2.5452306130185929E-2</v>
      </c>
      <c r="AA46" s="4">
        <v>8.9936864163099622E-2</v>
      </c>
      <c r="AB46" s="4">
        <v>0.16222178442146259</v>
      </c>
      <c r="AC46" s="4">
        <v>0.19906633206394811</v>
      </c>
      <c r="AD46" s="4">
        <v>0.18688785258846649</v>
      </c>
      <c r="AE46" s="4">
        <v>0.14312628322845999</v>
      </c>
      <c r="AF46" s="4">
        <v>9.3106433783168477E-2</v>
      </c>
      <c r="AG46" s="4">
        <v>5.2898170512027012E-2</v>
      </c>
      <c r="AH46" s="4">
        <v>2.6785951502222981E-2</v>
      </c>
      <c r="AI46" s="5" t="s">
        <v>93</v>
      </c>
      <c r="AJ46" s="3"/>
      <c r="AK46" s="5"/>
      <c r="AL46" s="8"/>
      <c r="AM46" s="8"/>
      <c r="AN46" s="8"/>
      <c r="AO46" s="8"/>
      <c r="AP46" s="8"/>
      <c r="AQ46" s="4" t="str">
        <f t="shared" si="0"/>
        <v/>
      </c>
      <c r="AR46" s="3" t="str">
        <f t="shared" si="1"/>
        <v/>
      </c>
      <c r="AS46" s="3" t="str">
        <f t="shared" si="2"/>
        <v/>
      </c>
      <c r="AT46" s="4" t="str">
        <f t="shared" si="3"/>
        <v/>
      </c>
      <c r="AU46" s="4" t="str">
        <f t="shared" si="4"/>
        <v/>
      </c>
      <c r="AV46" s="5" t="str">
        <f t="shared" si="5"/>
        <v/>
      </c>
      <c r="AW46" s="4" t="str">
        <f t="shared" si="6"/>
        <v/>
      </c>
      <c r="AX46" s="5" t="str">
        <f t="shared" si="7"/>
        <v/>
      </c>
      <c r="AY46" s="7" t="str">
        <f t="shared" si="8"/>
        <v/>
      </c>
      <c r="AZ46" s="8"/>
    </row>
    <row r="47" spans="1:52" x14ac:dyDescent="0.2">
      <c r="A47" s="2" t="s">
        <v>60</v>
      </c>
      <c r="B47" s="2" t="s">
        <v>143</v>
      </c>
      <c r="C47" s="2" t="s">
        <v>144</v>
      </c>
      <c r="D47" s="2" t="s">
        <v>167</v>
      </c>
      <c r="E47" s="2" t="s">
        <v>168</v>
      </c>
      <c r="F47" s="3">
        <v>3.7010869565217388</v>
      </c>
      <c r="G47" s="3">
        <v>3.332580605029511</v>
      </c>
      <c r="H47" s="4">
        <v>0.83582402659873511</v>
      </c>
      <c r="I47" s="4">
        <v>0.63817864780982347</v>
      </c>
      <c r="J47" s="4">
        <v>0.42434352270859532</v>
      </c>
      <c r="K47" s="4">
        <v>0.24734646575596231</v>
      </c>
      <c r="L47" s="4">
        <v>0.12783540385198339</v>
      </c>
      <c r="M47" s="4">
        <v>5.929097772083991E-2</v>
      </c>
      <c r="N47" s="3">
        <v>1.1964240894932821</v>
      </c>
      <c r="O47" s="3">
        <v>1.566959351322577</v>
      </c>
      <c r="P47" s="3">
        <v>2.3565812755122901</v>
      </c>
      <c r="Q47" s="3">
        <v>4.042912021983863</v>
      </c>
      <c r="R47" s="3">
        <v>7.8225590866663843</v>
      </c>
      <c r="S47" s="3">
        <v>16.865972504422281</v>
      </c>
      <c r="T47" s="3">
        <v>6.0910252534692484</v>
      </c>
      <c r="U47" s="3">
        <v>2.7637948781817361</v>
      </c>
      <c r="V47" s="3">
        <v>1.737147134529309</v>
      </c>
      <c r="W47" s="3">
        <v>1.328632570634769</v>
      </c>
      <c r="X47" s="3">
        <v>1.14657256716975</v>
      </c>
      <c r="Y47" s="3">
        <v>1.0630279675400469</v>
      </c>
      <c r="Z47" s="4">
        <v>3.9893041347427327E-2</v>
      </c>
      <c r="AA47" s="4">
        <v>0.1242829320538376</v>
      </c>
      <c r="AB47" s="4">
        <v>0.19764537878891161</v>
      </c>
      <c r="AC47" s="4">
        <v>0.21383512510122821</v>
      </c>
      <c r="AD47" s="4">
        <v>0.17699705695263299</v>
      </c>
      <c r="AE47" s="4">
        <v>0.1195110619039788</v>
      </c>
      <c r="AF47" s="4">
        <v>6.854442613114356E-2</v>
      </c>
      <c r="AG47" s="4">
        <v>3.4334983668286162E-2</v>
      </c>
      <c r="AH47" s="4">
        <v>1.532875954575943E-2</v>
      </c>
      <c r="AI47" s="5" t="s">
        <v>93</v>
      </c>
      <c r="AJ47" s="3"/>
      <c r="AK47" s="5"/>
      <c r="AL47" s="8"/>
      <c r="AM47" s="8"/>
      <c r="AN47" s="8"/>
      <c r="AO47" s="8"/>
      <c r="AP47" s="8"/>
      <c r="AQ47" s="4" t="str">
        <f t="shared" si="0"/>
        <v/>
      </c>
      <c r="AR47" s="3" t="str">
        <f t="shared" si="1"/>
        <v/>
      </c>
      <c r="AS47" s="3" t="str">
        <f t="shared" si="2"/>
        <v/>
      </c>
      <c r="AT47" s="4" t="str">
        <f t="shared" si="3"/>
        <v/>
      </c>
      <c r="AU47" s="4" t="str">
        <f t="shared" si="4"/>
        <v/>
      </c>
      <c r="AV47" s="5" t="str">
        <f t="shared" si="5"/>
        <v/>
      </c>
      <c r="AW47" s="4" t="str">
        <f t="shared" si="6"/>
        <v/>
      </c>
      <c r="AX47" s="5" t="str">
        <f t="shared" si="7"/>
        <v/>
      </c>
      <c r="AY47" s="7" t="str">
        <f t="shared" si="8"/>
        <v/>
      </c>
      <c r="AZ47" s="8"/>
    </row>
    <row r="48" spans="1:52" x14ac:dyDescent="0.2">
      <c r="D48" s="9" t="s">
        <v>169</v>
      </c>
    </row>
    <row r="49" spans="1:52" x14ac:dyDescent="0.2">
      <c r="A49" s="10" t="s">
        <v>60</v>
      </c>
      <c r="B49" s="10" t="s">
        <v>53</v>
      </c>
      <c r="C49" s="10" t="s">
        <v>54</v>
      </c>
      <c r="D49" s="10" t="s">
        <v>170</v>
      </c>
      <c r="E49" s="10" t="s">
        <v>171</v>
      </c>
      <c r="F49" s="11">
        <v>3.87</v>
      </c>
      <c r="G49" s="11">
        <v>4.4000000000000004</v>
      </c>
      <c r="J49" s="12">
        <v>0.63</v>
      </c>
      <c r="P49" s="11">
        <v>1.59</v>
      </c>
      <c r="V49" s="11">
        <v>2.7</v>
      </c>
      <c r="AI49" s="10" t="s">
        <v>172</v>
      </c>
      <c r="AJ49" s="11">
        <v>1.2</v>
      </c>
      <c r="AK49" s="10">
        <v>200</v>
      </c>
      <c r="AL49" s="10">
        <v>5</v>
      </c>
      <c r="AM49" s="10" t="s">
        <v>173</v>
      </c>
      <c r="AN49" s="11">
        <v>3.5</v>
      </c>
      <c r="AO49" s="11">
        <v>1.8</v>
      </c>
      <c r="AP49" s="11">
        <v>2.0499999999999998</v>
      </c>
      <c r="AQ49" s="12">
        <v>0.63</v>
      </c>
      <c r="AR49" s="11">
        <v>1.59</v>
      </c>
      <c r="AS49" s="11">
        <v>2.7</v>
      </c>
      <c r="AT49" s="12">
        <v>0.53200000000000003</v>
      </c>
      <c r="AU49" s="12">
        <v>9.8000000000000004E-2</v>
      </c>
      <c r="AV49" s="10" t="s">
        <v>174</v>
      </c>
      <c r="AW49" s="12">
        <v>0.13400000000000001</v>
      </c>
      <c r="AX49" s="10" t="s">
        <v>175</v>
      </c>
      <c r="AY49" s="13">
        <v>0.8</v>
      </c>
      <c r="AZ49" s="14" t="s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workbookViewId="0"/>
  </sheetViews>
  <sheetFormatPr baseColWidth="10" defaultColWidth="8.83203125" defaultRowHeight="15" x14ac:dyDescent="0.2"/>
  <cols>
    <col min="1" max="1" width="32" customWidth="1"/>
    <col min="2" max="2" width="13" customWidth="1"/>
    <col min="3" max="3" width="62" customWidth="1"/>
  </cols>
  <sheetData>
    <row r="1" spans="1:3" x14ac:dyDescent="0.2">
      <c r="A1" s="15" t="s">
        <v>177</v>
      </c>
      <c r="B1" s="15" t="s">
        <v>178</v>
      </c>
      <c r="C1" s="15" t="s">
        <v>179</v>
      </c>
    </row>
    <row r="2" spans="1:3" x14ac:dyDescent="0.2">
      <c r="A2" s="16" t="s">
        <v>180</v>
      </c>
      <c r="B2" s="16">
        <f>COUNTA(Predictions!$D$2:$D$47)</f>
        <v>46</v>
      </c>
      <c r="C2" s="17"/>
    </row>
    <row r="3" spans="1:3" x14ac:dyDescent="0.2">
      <c r="A3" s="16" t="s">
        <v>181</v>
      </c>
      <c r="B3" s="16">
        <f>COUNT(Predictions!$AL$2:$AL$47)</f>
        <v>0</v>
      </c>
      <c r="C3" s="17" t="s">
        <v>182</v>
      </c>
    </row>
    <row r="4" spans="1:3" x14ac:dyDescent="0.2">
      <c r="A4" s="16" t="s">
        <v>183</v>
      </c>
      <c r="B4" s="18" t="str">
        <f>IF(COUNT(Predictions!$AL$2:$AL$47)=0,"",SUMPRODUCT(--ISNUMBER(Predictions!$AL$2:$AL$47),Predictions!$G$2:$G$47)/COUNT(Predictions!$AL$2:$AL$47))</f>
        <v/>
      </c>
      <c r="C4" s="17" t="s">
        <v>184</v>
      </c>
    </row>
    <row r="5" spans="1:3" x14ac:dyDescent="0.2">
      <c r="A5" s="16" t="s">
        <v>185</v>
      </c>
      <c r="B5" s="18" t="str">
        <f>IF(COUNT(Predictions!$AL$2:$AL$47)=0,"",AVERAGE(Predictions!$AL$2:$AL$47))</f>
        <v/>
      </c>
      <c r="C5" s="17"/>
    </row>
    <row r="6" spans="1:3" x14ac:dyDescent="0.2">
      <c r="A6" s="16" t="s">
        <v>186</v>
      </c>
      <c r="B6" s="18" t="str">
        <f>IF(COUNT(Predictions!$AL$2:$AL$47)=0,"",AVERAGE(Predictions!$AL$2:$AL$47)-SUMPRODUCT(--ISNUMBER(Predictions!$AL$2:$AL$47),Predictions!$G$2:$G$47)/COUNT(Predictions!$AL$2:$AL$47))</f>
        <v/>
      </c>
      <c r="C6" s="17" t="s">
        <v>187</v>
      </c>
    </row>
    <row r="7" spans="1:3" x14ac:dyDescent="0.2">
      <c r="A7" s="16" t="s">
        <v>188</v>
      </c>
      <c r="B7" s="18" t="str">
        <f>IF(COUNT(Predictions!$AL$2:$AL$47)=0,"",SUMPRODUCT(--ISNUMBER(Predictions!$AL$2:$AL$47),ABS(Predictions!$AL$2:$AL$47-Predictions!$G$2:$G$47))/COUNT(Predictions!$AL$2:$AL$47))</f>
        <v/>
      </c>
      <c r="C7" s="17" t="s">
        <v>189</v>
      </c>
    </row>
    <row r="8" spans="1:3" x14ac:dyDescent="0.2">
      <c r="A8" s="16"/>
      <c r="B8" s="16"/>
      <c r="C8" s="17"/>
    </row>
    <row r="9" spans="1:3" x14ac:dyDescent="0.2">
      <c r="A9" s="19" t="s">
        <v>190</v>
      </c>
      <c r="B9" s="16"/>
      <c r="C9" s="17"/>
    </row>
    <row r="10" spans="1:3" x14ac:dyDescent="0.2">
      <c r="A10" s="16" t="s">
        <v>191</v>
      </c>
      <c r="B10" s="20" t="str">
        <f>IF(COUNT(Predictions!$AL$2:$AL$47)=0,"",SUMPRODUCT(--ISNUMBER(Predictions!$AL$2:$AL$47),Predictions!$J$2:$J$47)/COUNT(Predictions!$AL$2:$AL$47))</f>
        <v/>
      </c>
      <c r="C10" s="17"/>
    </row>
    <row r="11" spans="1:3" x14ac:dyDescent="0.2">
      <c r="A11" s="16" t="s">
        <v>192</v>
      </c>
      <c r="B11" s="20" t="str">
        <f>IF(COUNT(Predictions!$AL$2:$AL$47)=0,"",COUNTIF(Predictions!$AL$2:$AL$47,"&gt;3.5")/COUNT(Predictions!$AL$2:$AL$47))</f>
        <v/>
      </c>
      <c r="C11" s="17"/>
    </row>
    <row r="12" spans="1:3" x14ac:dyDescent="0.2">
      <c r="A12" s="16" t="s">
        <v>193</v>
      </c>
      <c r="B12" s="20" t="str">
        <f>IF(COUNT(Predictions!$AL$2:$AL$47)=0,"",SUMPRODUCT(--ISNUMBER(Predictions!$AL$2:$AL$47),Predictions!$J$2:$J$47)/COUNT(Predictions!$AL$2:$AL$47)-COUNTIF(Predictions!$AL$2:$AL$47,"&gt;3.5")/COUNT(Predictions!$AL$2:$AL$47))</f>
        <v/>
      </c>
      <c r="C12" s="17" t="s">
        <v>194</v>
      </c>
    </row>
    <row r="13" spans="1:3" x14ac:dyDescent="0.2">
      <c r="A13" s="16" t="s">
        <v>195</v>
      </c>
      <c r="B13" s="20" t="str">
        <f>IF(COUNT(Predictions!$AL$2:$AL$47)=0,"",SUMPRODUCT(--ISNUMBER(Predictions!$AL$2:$AL$47),Predictions!$I$2:$I$47)/COUNT(Predictions!$AL$2:$AL$47))</f>
        <v/>
      </c>
      <c r="C13" s="17"/>
    </row>
    <row r="14" spans="1:3" x14ac:dyDescent="0.2">
      <c r="A14" s="16" t="s">
        <v>196</v>
      </c>
      <c r="B14" s="20" t="str">
        <f>IF(COUNT(Predictions!$AL$2:$AL$47)=0,"",COUNTIF(Predictions!$AL$2:$AL$47,"&gt;2.5")/COUNT(Predictions!$AL$2:$AL$47))</f>
        <v/>
      </c>
      <c r="C14" s="17"/>
    </row>
    <row r="15" spans="1:3" x14ac:dyDescent="0.2">
      <c r="A15" s="16" t="s">
        <v>197</v>
      </c>
      <c r="B15" s="20" t="str">
        <f>IF(COUNT(Predictions!$AL$2:$AL$47)=0,"",SUMPRODUCT(--ISNUMBER(Predictions!$AL$2:$AL$47),Predictions!$K$2:$K$47)/COUNT(Predictions!$AL$2:$AL$47))</f>
        <v/>
      </c>
      <c r="C15" s="17"/>
    </row>
    <row r="16" spans="1:3" x14ac:dyDescent="0.2">
      <c r="A16" s="16" t="s">
        <v>198</v>
      </c>
      <c r="B16" s="20" t="str">
        <f>IF(COUNT(Predictions!$AL$2:$AL$47)=0,"",COUNTIF(Predictions!$AL$2:$AL$47,"&gt;4.5")/COUNT(Predictions!$AL$2:$AL$47))</f>
        <v/>
      </c>
      <c r="C16" s="17"/>
    </row>
    <row r="17" spans="1:3" x14ac:dyDescent="0.2">
      <c r="A17" s="16"/>
      <c r="B17" s="16"/>
      <c r="C17" s="17"/>
    </row>
    <row r="18" spans="1:3" x14ac:dyDescent="0.2">
      <c r="A18" s="19" t="s">
        <v>199</v>
      </c>
      <c r="B18" s="16"/>
      <c r="C18" s="17"/>
    </row>
    <row r="19" spans="1:3" x14ac:dyDescent="0.2">
      <c r="A19" s="16" t="s">
        <v>200</v>
      </c>
      <c r="B19" s="16">
        <f>COUNTIF(Predictions!$AV$2:$AV$47,"OVER")+COUNTIF(Predictions!$AV$2:$AV$47,"UNDER")</f>
        <v>1</v>
      </c>
      <c r="C19" s="17" t="s">
        <v>201</v>
      </c>
    </row>
    <row r="20" spans="1:3" x14ac:dyDescent="0.2">
      <c r="A20" s="16" t="s">
        <v>202</v>
      </c>
      <c r="B20" s="16">
        <f>COUNTIF(Predictions!$AV$2:$AV$47,"OVER")</f>
        <v>0</v>
      </c>
      <c r="C20" s="17"/>
    </row>
    <row r="21" spans="1:3" x14ac:dyDescent="0.2">
      <c r="A21" s="16" t="s">
        <v>203</v>
      </c>
      <c r="B21" s="16">
        <f>COUNTIF(Predictions!$AV$2:$AV$47,"UNDER")</f>
        <v>1</v>
      </c>
      <c r="C21" s="17" t="s">
        <v>204</v>
      </c>
    </row>
    <row r="22" spans="1:3" x14ac:dyDescent="0.2">
      <c r="A22" s="16" t="s">
        <v>205</v>
      </c>
      <c r="B22" s="16">
        <f>COUNTIF(Predictions!$AX$2:$AX$47,"WON")+COUNTIF(Predictions!$AX$2:$AX$47,"LOST")</f>
        <v>0</v>
      </c>
      <c r="C22" s="17"/>
    </row>
    <row r="23" spans="1:3" x14ac:dyDescent="0.2">
      <c r="A23" s="16" t="s">
        <v>206</v>
      </c>
      <c r="B23" s="16">
        <f>COUNTIF(Predictions!$AX$2:$AX$47,"WON")</f>
        <v>0</v>
      </c>
      <c r="C23" s="17"/>
    </row>
    <row r="24" spans="1:3" x14ac:dyDescent="0.2">
      <c r="A24" s="16" t="s">
        <v>207</v>
      </c>
      <c r="B24" s="20" t="str">
        <f>IF(COUNTIF(Predictions!$AX$2:$AX$47,"WON")+COUNTIF(Predictions!$AX$2:$AX$47,"LOST")=0,"",COUNTIF(Predictions!$AX$2:$AX$47,"WON")/(COUNTIF(Predictions!$AX$2:$AX$47,"WON")+COUNTIF(Predictions!$AX$2:$AX$47,"LOST")))</f>
        <v/>
      </c>
      <c r="C24" s="17" t="s">
        <v>208</v>
      </c>
    </row>
    <row r="25" spans="1:3" x14ac:dyDescent="0.2">
      <c r="A25" s="16" t="s">
        <v>209</v>
      </c>
      <c r="B25" s="21" t="str">
        <f>IF(COUNT(Predictions!$AY$2:$AY$47)=0,"",SUM(Predictions!$AY$2:$AY$47))</f>
        <v/>
      </c>
      <c r="C25" s="17" t="s">
        <v>210</v>
      </c>
    </row>
    <row r="26" spans="1:3" x14ac:dyDescent="0.2">
      <c r="A26" s="19" t="s">
        <v>211</v>
      </c>
      <c r="B26" s="20" t="str">
        <f>IF(COUNTIF(Predictions!$AX$2:$AX$47,"WON")+COUNTIF(Predictions!$AX$2:$AX$47,"LOST")=0,"",SUM(Predictions!$AY$2:$AY$47)/(COUNTIF(Predictions!$AX$2:$AX$47,"WON")+COUNTIF(Predictions!$AX$2:$AX$47,"LOST")))</f>
        <v/>
      </c>
      <c r="C26" s="17" t="s">
        <v>212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9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x14ac:dyDescent="0.2">
      <c r="A1" s="22" t="s">
        <v>213</v>
      </c>
    </row>
    <row r="2" spans="1:1" x14ac:dyDescent="0.2">
      <c r="A2" s="23"/>
    </row>
    <row r="3" spans="1:1" x14ac:dyDescent="0.2">
      <c r="A3" s="23" t="s">
        <v>214</v>
      </c>
    </row>
    <row r="4" spans="1:1" x14ac:dyDescent="0.2">
      <c r="A4" s="23" t="s">
        <v>215</v>
      </c>
    </row>
    <row r="5" spans="1:1" x14ac:dyDescent="0.2">
      <c r="A5" s="23" t="s">
        <v>216</v>
      </c>
    </row>
    <row r="6" spans="1:1" x14ac:dyDescent="0.2">
      <c r="A6" s="23" t="s">
        <v>217</v>
      </c>
    </row>
    <row r="7" spans="1:1" x14ac:dyDescent="0.2">
      <c r="A7" s="23"/>
    </row>
    <row r="8" spans="1:1" x14ac:dyDescent="0.2">
      <c r="A8" s="22" t="s">
        <v>218</v>
      </c>
    </row>
    <row r="9" spans="1:1" ht="30" x14ac:dyDescent="0.2">
      <c r="A9" s="23" t="s">
        <v>219</v>
      </c>
    </row>
    <row r="10" spans="1:1" x14ac:dyDescent="0.2">
      <c r="A10" s="23" t="s">
        <v>220</v>
      </c>
    </row>
    <row r="11" spans="1:1" x14ac:dyDescent="0.2">
      <c r="A11" s="23" t="s">
        <v>221</v>
      </c>
    </row>
    <row r="12" spans="1:1" x14ac:dyDescent="0.2">
      <c r="A12" s="23" t="s">
        <v>222</v>
      </c>
    </row>
    <row r="13" spans="1:1" x14ac:dyDescent="0.2">
      <c r="A13" s="23"/>
    </row>
    <row r="14" spans="1:1" x14ac:dyDescent="0.2">
      <c r="A14" s="22" t="s">
        <v>223</v>
      </c>
    </row>
    <row r="15" spans="1:1" x14ac:dyDescent="0.2">
      <c r="A15" s="23" t="s">
        <v>224</v>
      </c>
    </row>
    <row r="16" spans="1:1" ht="30" x14ac:dyDescent="0.2">
      <c r="A16" s="23" t="s">
        <v>225</v>
      </c>
    </row>
    <row r="17" spans="1:1" ht="30" x14ac:dyDescent="0.2">
      <c r="A17" s="23" t="s">
        <v>226</v>
      </c>
    </row>
    <row r="18" spans="1:1" ht="30" x14ac:dyDescent="0.2">
      <c r="A18" s="23" t="s">
        <v>227</v>
      </c>
    </row>
    <row r="19" spans="1:1" x14ac:dyDescent="0.2">
      <c r="A19" s="23"/>
    </row>
    <row r="20" spans="1:1" x14ac:dyDescent="0.2">
      <c r="A20" s="22" t="s">
        <v>228</v>
      </c>
    </row>
    <row r="21" spans="1:1" x14ac:dyDescent="0.2">
      <c r="A21" s="23" t="s">
        <v>229</v>
      </c>
    </row>
    <row r="22" spans="1:1" ht="30" x14ac:dyDescent="0.2">
      <c r="A22" s="23" t="s">
        <v>230</v>
      </c>
    </row>
    <row r="23" spans="1:1" x14ac:dyDescent="0.2">
      <c r="A23" s="23" t="s">
        <v>231</v>
      </c>
    </row>
    <row r="24" spans="1:1" x14ac:dyDescent="0.2">
      <c r="A24" s="23"/>
    </row>
    <row r="25" spans="1:1" x14ac:dyDescent="0.2">
      <c r="A25" s="22" t="s">
        <v>232</v>
      </c>
    </row>
    <row r="26" spans="1:1" x14ac:dyDescent="0.2">
      <c r="A26" s="23" t="s">
        <v>233</v>
      </c>
    </row>
    <row r="27" spans="1:1" ht="30" x14ac:dyDescent="0.2">
      <c r="A27" s="23" t="s">
        <v>234</v>
      </c>
    </row>
    <row r="28" spans="1:1" x14ac:dyDescent="0.2">
      <c r="A28" s="23" t="s">
        <v>235</v>
      </c>
    </row>
    <row r="29" spans="1:1" ht="30" x14ac:dyDescent="0.2">
      <c r="A29" s="23" t="s">
        <v>236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Predictions</vt:lpstr>
      <vt:lpstr>Scoring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Artur Markosyan - ibdp2</cp:lastModifiedBy>
  <dcterms:created xsi:type="dcterms:W3CDTF">2026-09-17T11:46:08Z</dcterms:created>
  <dcterms:modified xsi:type="dcterms:W3CDTF">2026-09-18T07:12:51Z</dcterms:modified>
</cp:coreProperties>
</file>