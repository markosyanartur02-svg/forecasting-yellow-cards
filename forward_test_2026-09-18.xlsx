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3 Oct" sheetId="5" state="visible" r:id="rId5"/>
    <sheet name="Week 9-12 Oct" sheetId="6" state="visible" r:id="rId6"/>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4" t="inlineStr">
        <is>
          <t>HOW TO USE THIS SHEET</t>
        </is>
      </c>
    </row>
    <row r="26">
      <c r="A26" s="45" t="inlineStr"/>
    </row>
    <row r="27">
      <c r="A27" s="45" t="inlineStr">
        <is>
          <t>1. Fill the yellow columns only. Everything green is computed.</t>
        </is>
      </c>
    </row>
    <row r="28">
      <c r="A28" s="45" t="inlineStr"/>
    </row>
    <row r="29">
      <c r="A29" s="45" t="inlineStr">
        <is>
          <t>2. 'Settles on' must say what the market actually pays out on. Write 'yellow cards' only if the bookmaker settles on yellows alone. If it says total cards or booking points, BET? shows UNITS? and gives no verdict -- on purpose.</t>
        </is>
      </c>
    </row>
    <row r="30">
      <c r="A30" s="45" t="inlineStr"/>
    </row>
    <row r="31">
      <c r="A31" s="45"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5" t="inlineStr"/>
    </row>
    <row r="33">
      <c r="A33" s="45" t="inlineStr">
        <is>
          <t xml:space="preserve">   The market to look for is 'Yellow Cards', as in the Chelsea screenshot -- not 'Cards' and not 'Booking Points'.</t>
        </is>
      </c>
    </row>
    <row r="34">
      <c r="A34" s="45" t="inlineStr"/>
    </row>
    <row r="35">
      <c r="A35" s="45" t="inlineStr">
        <is>
          <t>3. Record BOTH sides of the price. With one side only, the de-vig cannot run and the implied probability is overstated by the whole margin, which invents edge that is not there.</t>
        </is>
      </c>
    </row>
    <row r="36">
      <c r="A36" s="45" t="inlineStr"/>
    </row>
    <row r="37">
      <c r="A37" s="45" t="inlineStr">
        <is>
          <t>4. Record the price when you see it, before kick-off. A price looked up afterwards is not one you could have taken.</t>
        </is>
      </c>
    </row>
    <row r="38">
      <c r="A38" s="45" t="inlineStr"/>
    </row>
    <row r="39">
      <c r="A39" s="45" t="inlineStr">
        <is>
          <t>5. Stake is EUR 100 a bet. Change the column if you want; the P/L follows it.</t>
        </is>
      </c>
    </row>
    <row r="40">
      <c r="A40" s="45" t="inlineStr"/>
    </row>
    <row r="41">
      <c r="A41" s="44" t="inlineStr">
        <is>
          <t>WHAT THIS WEEK IS AND IS NOT</t>
        </is>
      </c>
    </row>
    <row r="42">
      <c r="A42" s="45" t="inlineStr"/>
    </row>
    <row r="43">
      <c r="A43" s="45" t="inlineStr">
        <is>
          <t>Fourteen fixtures, League One and League Two only -- 26 September starts a two-weekend international break, and seven more EFL matches are postponed. No Premier League or Championship football until 10 October.</t>
        </is>
      </c>
    </row>
    <row r="44">
      <c r="A44" s="45" t="inlineStr"/>
    </row>
    <row r="45">
      <c r="A45" s="45" t="inlineStr">
        <is>
          <t>Fourteen matches is far too few to tell you anything about whether the model beats a bookmaker. Treat this as practice for the workflow. A verdict on profitability needs thousands of bets.</t>
        </is>
      </c>
    </row>
    <row r="46">
      <c r="A46" s="45" t="inlineStr"/>
    </row>
    <row r="47">
      <c r="A47" s="45" t="inlineStr">
        <is>
          <t>Referees are not in yet. The EFL publishes appointments one to three days ahead, and the referee is 48% of the model's value -- so these numbers are the weaker version of the model. Re-run cards/run_week_sheet.py once the appointments are out.</t>
        </is>
      </c>
    </row>
    <row r="48">
      <c r="A48" s="45" t="inlineStr"/>
    </row>
    <row r="49">
      <c r="A49" s="45" t="inlineStr">
        <is>
          <t>Model fingerprint d30beac40c73a847, frozen for the season.</t>
        </is>
      </c>
    </row>
    <row r="50">
      <c r="A50" s="45"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not known</t>
        </is>
      </c>
      <c r="G2" s="26" t="n">
        <v>0</v>
      </c>
      <c r="H2" s="28" t="n"/>
      <c r="I2" s="29" t="n">
        <v>3.701149425287356</v>
      </c>
      <c r="J2" s="29" t="n">
        <v>3.757476221117926</v>
      </c>
      <c r="K2" s="30" t="n">
        <v>0.01521873055049539</v>
      </c>
      <c r="L2" s="26" t="n">
        <v>3</v>
      </c>
      <c r="M2" s="26" t="inlineStr">
        <is>
          <t>0-5</t>
        </is>
      </c>
      <c r="N2" s="31" t="n">
        <v>0.02684027481775449</v>
      </c>
      <c r="O2" s="31" t="n">
        <v>0.0935399723429607</v>
      </c>
      <c r="P2" s="31" t="n">
        <v>0.1663870273390385</v>
      </c>
      <c r="Q2" s="31" t="n">
        <v>0.2013316111052611</v>
      </c>
      <c r="R2" s="31" t="n">
        <v>0.1863605617397721</v>
      </c>
      <c r="S2" s="31" t="n">
        <v>0.1407044281278266</v>
      </c>
      <c r="T2" s="31" t="n">
        <v>0.09022809525399321</v>
      </c>
      <c r="U2" s="31" t="n">
        <v>0.05052848895882353</v>
      </c>
      <c r="V2" s="31" t="n">
        <v>0.0252172426634796</v>
      </c>
      <c r="W2" s="28" t="n">
        <v>0.8796197528392848</v>
      </c>
      <c r="X2" s="28" t="n">
        <v>0.7132327255002463</v>
      </c>
      <c r="Y2" s="28" t="n">
        <v>0.5119011143949852</v>
      </c>
      <c r="Z2" s="28" t="n">
        <v>0.3255405526552131</v>
      </c>
      <c r="AA2" s="28" t="n">
        <v>0.1848361245273864</v>
      </c>
      <c r="AB2" s="28" t="n">
        <v>0.09460802927339318</v>
      </c>
      <c r="AC2" s="29" t="n">
        <v>1.136854870268824</v>
      </c>
      <c r="AD2" s="29" t="n">
        <v>1.402066905018444</v>
      </c>
      <c r="AE2" s="29" t="n">
        <v>1.953502291515614</v>
      </c>
      <c r="AF2" s="29" t="n">
        <v>3.071813916403592</v>
      </c>
      <c r="AG2" s="29" t="n">
        <v>5.410197830953949</v>
      </c>
      <c r="AH2" s="29" t="n">
        <v>10.56992739073186</v>
      </c>
      <c r="AI2" s="29" t="n">
        <v>8.307010689759903</v>
      </c>
      <c r="AJ2" s="29" t="n">
        <v>3.487148251990863</v>
      </c>
      <c r="AK2" s="29" t="n">
        <v>2.048765177491579</v>
      </c>
      <c r="AL2" s="29" t="n">
        <v>1.482668830478692</v>
      </c>
      <c r="AM2" s="29" t="n">
        <v>1.226747197819853</v>
      </c>
      <c r="AN2" s="29" t="n">
        <v>1.104494000755791</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2026-10-03</t>
        </is>
      </c>
      <c r="B3" s="26" t="inlineStr">
        <is>
          <t>E2</t>
        </is>
      </c>
      <c r="C3" s="26" t="inlineStr">
        <is>
          <t>League One</t>
        </is>
      </c>
      <c r="D3" s="26" t="inlineStr">
        <is>
          <t>Leyton Orient</t>
        </is>
      </c>
      <c r="E3" s="26" t="inlineStr">
        <is>
          <t>Plymouth</t>
        </is>
      </c>
      <c r="F3" s="27" t="inlineStr">
        <is>
          <t>not known</t>
        </is>
      </c>
      <c r="G3" s="26" t="n">
        <v>0</v>
      </c>
      <c r="H3" s="28" t="n"/>
      <c r="I3" s="29" t="n">
        <v>3.701149425287356</v>
      </c>
      <c r="J3" s="29" t="n">
        <v>4.192678159403322</v>
      </c>
      <c r="K3" s="30" t="n">
        <v>0.1328043474164253</v>
      </c>
      <c r="L3" s="26" t="n">
        <v>4</v>
      </c>
      <c r="M3" s="26" t="inlineStr">
        <is>
          <t>1-6</t>
        </is>
      </c>
      <c r="N3" s="31" t="n">
        <v>0.01795626295405502</v>
      </c>
      <c r="O3" s="31" t="n">
        <v>0.06924523896805033</v>
      </c>
      <c r="P3" s="31" t="n">
        <v>0.1362937141747345</v>
      </c>
      <c r="Q3" s="31" t="n">
        <v>0.1824870353361113</v>
      </c>
      <c r="R3" s="31" t="n">
        <v>0.1869122392836804</v>
      </c>
      <c r="S3" s="31" t="n">
        <v>0.1561547422791686</v>
      </c>
      <c r="T3" s="31" t="n">
        <v>0.1108033484070047</v>
      </c>
      <c r="U3" s="31" t="n">
        <v>0.0686611525324158</v>
      </c>
      <c r="V3" s="31" t="n">
        <v>0.03791718247774829</v>
      </c>
      <c r="W3" s="28" t="n">
        <v>0.9127984980778947</v>
      </c>
      <c r="X3" s="28" t="n">
        <v>0.7765047839031601</v>
      </c>
      <c r="Y3" s="28" t="n">
        <v>0.5940177485670489</v>
      </c>
      <c r="Z3" s="28" t="n">
        <v>0.4071055092833685</v>
      </c>
      <c r="AA3" s="28" t="n">
        <v>0.2509507670041999</v>
      </c>
      <c r="AB3" s="28" t="n">
        <v>0.1401474185971953</v>
      </c>
      <c r="AC3" s="29" t="n">
        <v>1.095532039224131</v>
      </c>
      <c r="AD3" s="29" t="n">
        <v>1.287822072355336</v>
      </c>
      <c r="AE3" s="29" t="n">
        <v>1.683451382407855</v>
      </c>
      <c r="AF3" s="29" t="n">
        <v>2.456365677193387</v>
      </c>
      <c r="AG3" s="29" t="n">
        <v>3.984845362051689</v>
      </c>
      <c r="AH3" s="29" t="n">
        <v>7.135343697440124</v>
      </c>
      <c r="AI3" s="29" t="n">
        <v>11.46769239012962</v>
      </c>
      <c r="AJ3" s="29" t="n">
        <v>4.474368702221808</v>
      </c>
      <c r="AK3" s="29" t="n">
        <v>2.463161865993919</v>
      </c>
      <c r="AL3" s="29" t="n">
        <v>1.686640735675078</v>
      </c>
      <c r="AM3" s="29" t="n">
        <v>1.335025731220002</v>
      </c>
      <c r="AN3" s="29" t="n">
        <v>1.16299005390965</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2026-10-03</t>
        </is>
      </c>
      <c r="B4" s="26" t="inlineStr">
        <is>
          <t>E2</t>
        </is>
      </c>
      <c r="C4" s="26" t="inlineStr">
        <is>
          <t>League One</t>
        </is>
      </c>
      <c r="D4" s="26" t="inlineStr">
        <is>
          <t>Reading</t>
        </is>
      </c>
      <c r="E4" s="26" t="inlineStr">
        <is>
          <t>Bradford</t>
        </is>
      </c>
      <c r="F4" s="27" t="inlineStr">
        <is>
          <t>not known</t>
        </is>
      </c>
      <c r="G4" s="26" t="n">
        <v>0</v>
      </c>
      <c r="H4" s="28" t="n"/>
      <c r="I4" s="29" t="n">
        <v>3.701149425287356</v>
      </c>
      <c r="J4" s="29" t="n">
        <v>3.966951843542349</v>
      </c>
      <c r="K4" s="30" t="n">
        <v>0.07181618132976508</v>
      </c>
      <c r="L4" s="26" t="n">
        <v>3</v>
      </c>
      <c r="M4" s="26" t="inlineStr">
        <is>
          <t>1-6</t>
        </is>
      </c>
      <c r="N4" s="31" t="n">
        <v>0.02210947920908284</v>
      </c>
      <c r="O4" s="31" t="n">
        <v>0.08102101696785004</v>
      </c>
      <c r="P4" s="31" t="n">
        <v>0.15154053425682</v>
      </c>
      <c r="Q4" s="31" t="n">
        <v>0.1928102947440807</v>
      </c>
      <c r="R4" s="31" t="n">
        <v>0.1876640820630388</v>
      </c>
      <c r="S4" s="31" t="n">
        <v>0.1489854344561662</v>
      </c>
      <c r="T4" s="31" t="n">
        <v>0.1004585103796798</v>
      </c>
      <c r="U4" s="31" t="n">
        <v>0.05915482229153495</v>
      </c>
      <c r="V4" s="31" t="n">
        <v>0.03104276084246595</v>
      </c>
      <c r="W4" s="28" t="n">
        <v>0.8968695038230672</v>
      </c>
      <c r="X4" s="28" t="n">
        <v>0.7453289695662471</v>
      </c>
      <c r="Y4" s="28" t="n">
        <v>0.5525186748221663</v>
      </c>
      <c r="Z4" s="28" t="n">
        <v>0.3648545927591276</v>
      </c>
      <c r="AA4" s="28" t="n">
        <v>0.2158691583029614</v>
      </c>
      <c r="AB4" s="28" t="n">
        <v>0.1154106479232816</v>
      </c>
      <c r="AC4" s="29" t="n">
        <v>1.114989411210127</v>
      </c>
      <c r="AD4" s="29" t="n">
        <v>1.34168942954406</v>
      </c>
      <c r="AE4" s="29" t="n">
        <v>1.809893575673003</v>
      </c>
      <c r="AF4" s="29" t="n">
        <v>2.740817903476927</v>
      </c>
      <c r="AG4" s="29" t="n">
        <v>4.632435721070218</v>
      </c>
      <c r="AH4" s="29" t="n">
        <v>8.664711774815984</v>
      </c>
      <c r="AI4" s="29" t="n">
        <v>9.696452912282894</v>
      </c>
      <c r="AJ4" s="29" t="n">
        <v>3.926634286973319</v>
      </c>
      <c r="AK4" s="29" t="n">
        <v>2.234730130028532</v>
      </c>
      <c r="AL4" s="29" t="n">
        <v>1.574442621484249</v>
      </c>
      <c r="AM4" s="29" t="n">
        <v>1.275297369806002</v>
      </c>
      <c r="AN4" s="29" t="n">
        <v>1.130468050121038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2026-10-03</t>
        </is>
      </c>
      <c r="B5" s="26" t="inlineStr">
        <is>
          <t>E3</t>
        </is>
      </c>
      <c r="C5" s="26" t="inlineStr">
        <is>
          <t>League Two</t>
        </is>
      </c>
      <c r="D5" s="26" t="inlineStr">
        <is>
          <t>Accrington</t>
        </is>
      </c>
      <c r="E5" s="26" t="inlineStr">
        <is>
          <t>Cheltenham</t>
        </is>
      </c>
      <c r="F5" s="27" t="inlineStr">
        <is>
          <t>not known</t>
        </is>
      </c>
      <c r="G5" s="26" t="n">
        <v>0</v>
      </c>
      <c r="H5" s="28" t="n"/>
      <c r="I5" s="29" t="n">
        <v>3.861702127659575</v>
      </c>
      <c r="J5" s="29" t="n">
        <v>3.853696280018084</v>
      </c>
      <c r="K5" s="30" t="n">
        <v>-0.002073139609642283</v>
      </c>
      <c r="L5" s="26" t="n">
        <v>3</v>
      </c>
      <c r="M5" s="26" t="inlineStr">
        <is>
          <t>0-5</t>
        </is>
      </c>
      <c r="N5" s="31" t="n">
        <v>0.02455074407846696</v>
      </c>
      <c r="O5" s="31" t="n">
        <v>0.08758921630413619</v>
      </c>
      <c r="P5" s="31" t="n">
        <v>0.1594955492911613</v>
      </c>
      <c r="Q5" s="31" t="n">
        <v>0.197568079060859</v>
      </c>
      <c r="R5" s="31" t="n">
        <v>0.1872123615945189</v>
      </c>
      <c r="S5" s="31" t="n">
        <v>0.1446984832322112</v>
      </c>
      <c r="T5" s="31" t="n">
        <v>0.09498908520665909</v>
      </c>
      <c r="U5" s="31" t="n">
        <v>0.05445577326164713</v>
      </c>
      <c r="V5" s="31" t="n">
        <v>0.02782152416092906</v>
      </c>
      <c r="W5" s="28" t="n">
        <v>0.8878600396173968</v>
      </c>
      <c r="X5" s="28" t="n">
        <v>0.7283644903262356</v>
      </c>
      <c r="Y5" s="28" t="n">
        <v>0.5307964112653766</v>
      </c>
      <c r="Z5" s="28" t="n">
        <v>0.3435840496708576</v>
      </c>
      <c r="AA5" s="28" t="n">
        <v>0.1988855664386464</v>
      </c>
      <c r="AB5" s="28" t="n">
        <v>0.1038964812319874</v>
      </c>
      <c r="AC5" s="29" t="n">
        <v>1.126303646271689</v>
      </c>
      <c r="AD5" s="29" t="n">
        <v>1.372938979427866</v>
      </c>
      <c r="AE5" s="29" t="n">
        <v>1.883961494042658</v>
      </c>
      <c r="AF5" s="29" t="n">
        <v>2.910495993507171</v>
      </c>
      <c r="AG5" s="29" t="n">
        <v>5.0280169542041</v>
      </c>
      <c r="AH5" s="29" t="n">
        <v>9.624965043494878</v>
      </c>
      <c r="AI5" s="29" t="n">
        <v>8.917427798156549</v>
      </c>
      <c r="AJ5" s="29" t="n">
        <v>3.681403809100677</v>
      </c>
      <c r="AK5" s="29" t="n">
        <v>2.131270996236112</v>
      </c>
      <c r="AL5" s="29" t="n">
        <v>1.523424285315701</v>
      </c>
      <c r="AM5" s="29" t="n">
        <v>1.248261119893323</v>
      </c>
      <c r="AN5" s="29" t="n">
        <v>1.115942498892122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2026-10-03</t>
        </is>
      </c>
      <c r="B6" s="26" t="inlineStr">
        <is>
          <t>E3</t>
        </is>
      </c>
      <c r="C6" s="26" t="inlineStr">
        <is>
          <t>League Two</t>
        </is>
      </c>
      <c r="D6" s="26" t="inlineStr">
        <is>
          <t>Chesterfield</t>
        </is>
      </c>
      <c r="E6" s="26" t="inlineStr">
        <is>
          <t>Tranmere</t>
        </is>
      </c>
      <c r="F6" s="27" t="inlineStr">
        <is>
          <t>not known</t>
        </is>
      </c>
      <c r="G6" s="26" t="n">
        <v>0</v>
      </c>
      <c r="H6" s="28" t="n"/>
      <c r="I6" s="29" t="n">
        <v>3.861702127659575</v>
      </c>
      <c r="J6" s="29" t="n">
        <v>3.955031986521905</v>
      </c>
      <c r="K6" s="30" t="n">
        <v>0.02416806262550697</v>
      </c>
      <c r="L6" s="26" t="n">
        <v>3</v>
      </c>
      <c r="M6" s="26" t="inlineStr">
        <is>
          <t>1-6</t>
        </is>
      </c>
      <c r="N6" s="31" t="n">
        <v>0.02235430381607915</v>
      </c>
      <c r="O6" s="31" t="n">
        <v>0.08169075151842646</v>
      </c>
      <c r="P6" s="31" t="n">
        <v>0.1523689870433689</v>
      </c>
      <c r="Q6" s="31" t="n">
        <v>0.1933261266851954</v>
      </c>
      <c r="R6" s="31" t="n">
        <v>0.187643729107364</v>
      </c>
      <c r="S6" s="31" t="n">
        <v>0.148555683944624</v>
      </c>
      <c r="T6" s="31" t="n">
        <v>0.09989063191555866</v>
      </c>
      <c r="U6" s="31" t="n">
        <v>0.05865712131366928</v>
      </c>
      <c r="V6" s="31" t="n">
        <v>0.03069612081949522</v>
      </c>
      <c r="W6" s="28" t="n">
        <v>0.8959549446654944</v>
      </c>
      <c r="X6" s="28" t="n">
        <v>0.7435859576221255</v>
      </c>
      <c r="Y6" s="28" t="n">
        <v>0.5502598309369301</v>
      </c>
      <c r="Z6" s="28" t="n">
        <v>0.3626161018295661</v>
      </c>
      <c r="AA6" s="28" t="n">
        <v>0.2140604178849421</v>
      </c>
      <c r="AB6" s="28" t="n">
        <v>0.1141697859693834</v>
      </c>
      <c r="AC6" s="29" t="n">
        <v>1.116127553013674</v>
      </c>
      <c r="AD6" s="29" t="n">
        <v>1.344834433396036</v>
      </c>
      <c r="AE6" s="29" t="n">
        <v>1.817323278526974</v>
      </c>
      <c r="AF6" s="29" t="n">
        <v>2.757737439001018</v>
      </c>
      <c r="AG6" s="29" t="n">
        <v>4.671578285610476</v>
      </c>
      <c r="AH6" s="29" t="n">
        <v>8.758884774192071</v>
      </c>
      <c r="AI6" s="29" t="n">
        <v>9.611220800306107</v>
      </c>
      <c r="AJ6" s="29" t="n">
        <v>3.899942416282769</v>
      </c>
      <c r="AK6" s="29" t="n">
        <v>2.223506079261877</v>
      </c>
      <c r="AL6" s="29" t="n">
        <v>1.568913182260221</v>
      </c>
      <c r="AM6" s="29" t="n">
        <v>1.272362434411154</v>
      </c>
      <c r="AN6" s="29" t="n">
        <v>1.128884501974593</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2026-10-03</t>
        </is>
      </c>
      <c r="B7" s="26" t="inlineStr">
        <is>
          <t>E3</t>
        </is>
      </c>
      <c r="C7" s="26" t="inlineStr">
        <is>
          <t>League Two</t>
        </is>
      </c>
      <c r="D7" s="26" t="inlineStr">
        <is>
          <t>Crewe</t>
        </is>
      </c>
      <c r="E7" s="26" t="inlineStr">
        <is>
          <t>Bristol Rvs</t>
        </is>
      </c>
      <c r="F7" s="27" t="inlineStr">
        <is>
          <t>not known</t>
        </is>
      </c>
      <c r="G7" s="26" t="n">
        <v>0</v>
      </c>
      <c r="H7" s="28" t="n"/>
      <c r="I7" s="29" t="n">
        <v>3.861702127659575</v>
      </c>
      <c r="J7" s="29" t="n">
        <v>3.877587531423699</v>
      </c>
      <c r="K7" s="30" t="n">
        <v>0.004113575630379396</v>
      </c>
      <c r="L7" s="26" t="n">
        <v>3</v>
      </c>
      <c r="M7" s="26" t="inlineStr">
        <is>
          <t>1-6</t>
        </is>
      </c>
      <c r="N7" s="31" t="n">
        <v>0.02401381214585648</v>
      </c>
      <c r="O7" s="31" t="n">
        <v>0.08616510746785132</v>
      </c>
      <c r="P7" s="31" t="n">
        <v>0.1578024369540142</v>
      </c>
      <c r="Q7" s="31" t="n">
        <v>0.1965921888392699</v>
      </c>
      <c r="R7" s="31" t="n">
        <v>0.1873563194529881</v>
      </c>
      <c r="S7" s="31" t="n">
        <v>0.1456404952127562</v>
      </c>
      <c r="T7" s="31" t="n">
        <v>0.09615596199184685</v>
      </c>
      <c r="U7" s="31" t="n">
        <v>0.05544096550543399</v>
      </c>
      <c r="V7" s="31" t="n">
        <v>0.02848735435224952</v>
      </c>
      <c r="W7" s="28" t="n">
        <v>0.8898210803862923</v>
      </c>
      <c r="X7" s="28" t="n">
        <v>0.7320186434322781</v>
      </c>
      <c r="Y7" s="28" t="n">
        <v>0.5354264545930081</v>
      </c>
      <c r="Z7" s="28" t="n">
        <v>0.3480701351400201</v>
      </c>
      <c r="AA7" s="28" t="n">
        <v>0.2024296399272638</v>
      </c>
      <c r="AB7" s="28" t="n">
        <v>0.106273677935417</v>
      </c>
      <c r="AC7" s="29" t="n">
        <v>1.123821431119475</v>
      </c>
      <c r="AD7" s="29" t="n">
        <v>1.3660854255176</v>
      </c>
      <c r="AE7" s="29" t="n">
        <v>1.867670137367655</v>
      </c>
      <c r="AF7" s="29" t="n">
        <v>2.872984203593694</v>
      </c>
      <c r="AG7" s="29" t="n">
        <v>4.939988039099985</v>
      </c>
      <c r="AH7" s="29" t="n">
        <v>9.409667750538423</v>
      </c>
      <c r="AI7" s="29" t="n">
        <v>9.076146358178544</v>
      </c>
      <c r="AJ7" s="29" t="n">
        <v>3.731602872706888</v>
      </c>
      <c r="AK7" s="29" t="n">
        <v>2.152511717222179</v>
      </c>
      <c r="AL7" s="29" t="n">
        <v>1.533907332523841</v>
      </c>
      <c r="AM7" s="29" t="n">
        <v>1.253807877099147</v>
      </c>
      <c r="AN7" s="29" t="n">
        <v>1.118910761954416</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2026-10-03</t>
        </is>
      </c>
      <c r="B8" s="26" t="inlineStr">
        <is>
          <t>E3</t>
        </is>
      </c>
      <c r="C8" s="26" t="inlineStr">
        <is>
          <t>League Two</t>
        </is>
      </c>
      <c r="D8" s="26" t="inlineStr">
        <is>
          <t>Exeter</t>
        </is>
      </c>
      <c r="E8" s="26" t="inlineStr">
        <is>
          <t>Rotherham</t>
        </is>
      </c>
      <c r="F8" s="27" t="inlineStr">
        <is>
          <t>not known</t>
        </is>
      </c>
      <c r="G8" s="26" t="n">
        <v>0</v>
      </c>
      <c r="H8" s="28" t="n"/>
      <c r="I8" s="29" t="n">
        <v>3.861702127659575</v>
      </c>
      <c r="J8" s="29" t="n">
        <v>3.825034073797117</v>
      </c>
      <c r="K8" s="30" t="n">
        <v>-0.009495308713694195</v>
      </c>
      <c r="L8" s="26" t="n">
        <v>3</v>
      </c>
      <c r="M8" s="26" t="inlineStr">
        <is>
          <t>0-5</t>
        </is>
      </c>
      <c r="N8" s="31" t="n">
        <v>0.0252111013973157</v>
      </c>
      <c r="O8" s="31" t="n">
        <v>0.0893254935760782</v>
      </c>
      <c r="P8" s="31" t="n">
        <v>0.1615366145477368</v>
      </c>
      <c r="Q8" s="31" t="n">
        <v>0.1987178178793453</v>
      </c>
      <c r="R8" s="31" t="n">
        <v>0.1870045519996365</v>
      </c>
      <c r="S8" s="31" t="n">
        <v>0.143542087981395</v>
      </c>
      <c r="T8" s="31" t="n">
        <v>0.0935807690280003</v>
      </c>
      <c r="U8" s="31" t="n">
        <v>0.05327880286863997</v>
      </c>
      <c r="V8" s="31" t="n">
        <v>0.02703267799772081</v>
      </c>
      <c r="W8" s="28" t="n">
        <v>0.8854634050266061</v>
      </c>
      <c r="X8" s="28" t="n">
        <v>0.7239267904788693</v>
      </c>
      <c r="Y8" s="28" t="n">
        <v>0.5252089725995239</v>
      </c>
      <c r="Z8" s="28" t="n">
        <v>0.3382044205998874</v>
      </c>
      <c r="AA8" s="28" t="n">
        <v>0.1946623326184924</v>
      </c>
      <c r="AB8" s="28" t="n">
        <v>0.1010815635904921</v>
      </c>
      <c r="AC8" s="29" t="n">
        <v>1.129352149759314</v>
      </c>
      <c r="AD8" s="29" t="n">
        <v>1.381355149653339</v>
      </c>
      <c r="AE8" s="29" t="n">
        <v>1.904004029197171</v>
      </c>
      <c r="AF8" s="29" t="n">
        <v>2.956791629826298</v>
      </c>
      <c r="AG8" s="29" t="n">
        <v>5.137100673502371</v>
      </c>
      <c r="AH8" s="29" t="n">
        <v>9.893000904212974</v>
      </c>
      <c r="AI8" s="29" t="n">
        <v>8.730834020622787</v>
      </c>
      <c r="AJ8" s="29" t="n">
        <v>3.622227603086057</v>
      </c>
      <c r="AK8" s="29" t="n">
        <v>2.106189759893085</v>
      </c>
      <c r="AL8" s="29" t="n">
        <v>1.511040616056176</v>
      </c>
      <c r="AM8" s="29" t="n">
        <v>1.24171517178803</v>
      </c>
      <c r="AN8" s="29" t="n">
        <v>1.112447981369962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2026-10-03</t>
        </is>
      </c>
      <c r="B9" s="26" t="inlineStr">
        <is>
          <t>E3</t>
        </is>
      </c>
      <c r="C9" s="26" t="inlineStr">
        <is>
          <t>League Two</t>
        </is>
      </c>
      <c r="D9" s="26" t="inlineStr">
        <is>
          <t>Gillingham</t>
        </is>
      </c>
      <c r="E9" s="26" t="inlineStr">
        <is>
          <t>Newport County</t>
        </is>
      </c>
      <c r="F9" s="27" t="inlineStr">
        <is>
          <t>not known</t>
        </is>
      </c>
      <c r="G9" s="26" t="n">
        <v>0</v>
      </c>
      <c r="H9" s="28" t="n"/>
      <c r="I9" s="29" t="n">
        <v>3.861702127659575</v>
      </c>
      <c r="J9" s="29" t="n">
        <v>4.086179518723705</v>
      </c>
      <c r="K9" s="30" t="n">
        <v>0.05812913157032584</v>
      </c>
      <c r="L9" s="26" t="n">
        <v>4</v>
      </c>
      <c r="M9" s="26" t="inlineStr">
        <is>
          <t>1-6</t>
        </is>
      </c>
      <c r="N9" s="31" t="n">
        <v>0.01980617743511015</v>
      </c>
      <c r="O9" s="31" t="n">
        <v>0.07459100072827692</v>
      </c>
      <c r="P9" s="31" t="n">
        <v>0.1433785383835565</v>
      </c>
      <c r="Q9" s="31" t="n">
        <v>0.187478791108704</v>
      </c>
      <c r="R9" s="31" t="n">
        <v>0.1875295346446647</v>
      </c>
      <c r="S9" s="31" t="n">
        <v>0.1530026384062809</v>
      </c>
      <c r="T9" s="31" t="n">
        <v>0.1060250371715355</v>
      </c>
      <c r="U9" s="31" t="n">
        <v>0.06416208148731388</v>
      </c>
      <c r="V9" s="31" t="n">
        <v>0.03460311695644641</v>
      </c>
      <c r="W9" s="28" t="n">
        <v>0.9056028218366129</v>
      </c>
      <c r="X9" s="28" t="n">
        <v>0.7622242834530565</v>
      </c>
      <c r="Y9" s="28" t="n">
        <v>0.5747454923443525</v>
      </c>
      <c r="Z9" s="28" t="n">
        <v>0.3872159576996879</v>
      </c>
      <c r="AA9" s="28" t="n">
        <v>0.2342133192934069</v>
      </c>
      <c r="AB9" s="28" t="n">
        <v>0.1281882821218715</v>
      </c>
      <c r="AC9" s="29" t="n">
        <v>1.104236841899349</v>
      </c>
      <c r="AD9" s="29" t="n">
        <v>1.311949804944239</v>
      </c>
      <c r="AE9" s="29" t="n">
        <v>1.739900553062295</v>
      </c>
      <c r="AF9" s="29" t="n">
        <v>2.582538193778593</v>
      </c>
      <c r="AG9" s="29" t="n">
        <v>4.269612005913576</v>
      </c>
      <c r="AH9" s="29" t="n">
        <v>7.801025050396396</v>
      </c>
      <c r="AI9" s="29" t="n">
        <v>10.59353700456122</v>
      </c>
      <c r="AJ9" s="29" t="n">
        <v>4.205643934218036</v>
      </c>
      <c r="AK9" s="29" t="n">
        <v>2.351532980832636</v>
      </c>
      <c r="AL9" s="29" t="n">
        <v>1.631896281512373</v>
      </c>
      <c r="AM9" s="29" t="n">
        <v>1.305846687066035</v>
      </c>
      <c r="AN9" s="29" t="n">
        <v>1.147036658825674</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2026-10-03</t>
        </is>
      </c>
      <c r="B10" s="26" t="inlineStr">
        <is>
          <t>E3</t>
        </is>
      </c>
      <c r="C10" s="26" t="inlineStr">
        <is>
          <t>League Two</t>
        </is>
      </c>
      <c r="D10" s="26" t="inlineStr">
        <is>
          <t>Grimsby</t>
        </is>
      </c>
      <c r="E10" s="26" t="inlineStr">
        <is>
          <t>Shrewsbury</t>
        </is>
      </c>
      <c r="F10" s="27" t="inlineStr">
        <is>
          <t>not known</t>
        </is>
      </c>
      <c r="G10" s="26" t="n">
        <v>0</v>
      </c>
      <c r="H10" s="28" t="n"/>
      <c r="I10" s="29" t="n">
        <v>3.861702127659575</v>
      </c>
      <c r="J10" s="29" t="n">
        <v>3.856340505969337</v>
      </c>
      <c r="K10" s="30" t="n">
        <v>-0.001388408922540774</v>
      </c>
      <c r="L10" s="26" t="n">
        <v>3</v>
      </c>
      <c r="M10" s="26" t="inlineStr">
        <is>
          <t>0-5</t>
        </is>
      </c>
      <c r="N10" s="31" t="n">
        <v>0.02449071948701239</v>
      </c>
      <c r="O10" s="31" t="n">
        <v>0.08743056798250627</v>
      </c>
      <c r="P10" s="31" t="n">
        <v>0.1593077860561559</v>
      </c>
      <c r="Q10" s="31" t="n">
        <v>0.1974608422653005</v>
      </c>
      <c r="R10" s="31" t="n">
        <v>0.1872295976338018</v>
      </c>
      <c r="S10" s="31" t="n">
        <v>0.1448037254532824</v>
      </c>
      <c r="T10" s="31" t="n">
        <v>0.09511855327734098</v>
      </c>
      <c r="U10" s="31" t="n">
        <v>0.05456463251545174</v>
      </c>
      <c r="V10" s="31" t="n">
        <v>0.02789484792900001</v>
      </c>
      <c r="W10" s="28" t="n">
        <v>0.8880787125304813</v>
      </c>
      <c r="X10" s="28" t="n">
        <v>0.7287709264743254</v>
      </c>
      <c r="Y10" s="28" t="n">
        <v>0.5313100842090249</v>
      </c>
      <c r="Z10" s="28" t="n">
        <v>0.3440804865752231</v>
      </c>
      <c r="AA10" s="28" t="n">
        <v>0.1992767611219406</v>
      </c>
      <c r="AB10" s="28" t="n">
        <v>0.1041582078445996</v>
      </c>
      <c r="AC10" s="29" t="n">
        <v>1.126026314886674</v>
      </c>
      <c r="AD10" s="29" t="n">
        <v>1.372173290224181</v>
      </c>
      <c r="AE10" s="29" t="n">
        <v>1.882140071722384</v>
      </c>
      <c r="AF10" s="29" t="n">
        <v>2.906296750372037</v>
      </c>
      <c r="AG10" s="29" t="n">
        <v>5.018146593561324</v>
      </c>
      <c r="AH10" s="29" t="n">
        <v>9.60077962835118</v>
      </c>
      <c r="AI10" s="29" t="n">
        <v>8.934850756361662</v>
      </c>
      <c r="AJ10" s="29" t="n">
        <v>3.686920384312487</v>
      </c>
      <c r="AK10" s="29" t="n">
        <v>2.133606818299835</v>
      </c>
      <c r="AL10" s="29" t="n">
        <v>1.524577298788784</v>
      </c>
      <c r="AM10" s="29" t="n">
        <v>1.248870959960097</v>
      </c>
      <c r="AN10" s="29" t="n">
        <v>1.11626852950675</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2026-10-03</t>
        </is>
      </c>
      <c r="B11" s="26" t="inlineStr">
        <is>
          <t>E3</t>
        </is>
      </c>
      <c r="C11" s="26" t="inlineStr">
        <is>
          <t>League Two</t>
        </is>
      </c>
      <c r="D11" s="26" t="inlineStr">
        <is>
          <t>Rochdale</t>
        </is>
      </c>
      <c r="E11" s="26" t="inlineStr">
        <is>
          <t>Swindon</t>
        </is>
      </c>
      <c r="F11" s="27" t="inlineStr">
        <is>
          <t>not known</t>
        </is>
      </c>
      <c r="G11" s="26" t="n">
        <v>0</v>
      </c>
      <c r="H11" s="28" t="n"/>
      <c r="I11" s="29" t="n">
        <v>3.861702127659575</v>
      </c>
      <c r="J11" s="29" t="n">
        <v>3.303285143858103</v>
      </c>
      <c r="K11" s="30" t="n">
        <v>-0.1446038470450092</v>
      </c>
      <c r="L11" s="26" t="n">
        <v>3</v>
      </c>
      <c r="M11" s="26" t="inlineStr">
        <is>
          <t>1-5</t>
        </is>
      </c>
      <c r="N11" s="31" t="n">
        <v>0.04097747881596749</v>
      </c>
      <c r="O11" s="31" t="n">
        <v>0.1266566689782702</v>
      </c>
      <c r="P11" s="31" t="n">
        <v>0.1998125840724436</v>
      </c>
      <c r="Q11" s="31" t="n">
        <v>0.2144311581412161</v>
      </c>
      <c r="R11" s="31" t="n">
        <v>0.1760364013716943</v>
      </c>
      <c r="S11" s="31" t="n">
        <v>0.1178769214898324</v>
      </c>
      <c r="T11" s="31" t="n">
        <v>0.0670402087364015</v>
      </c>
      <c r="U11" s="31" t="n">
        <v>0.03329679468494827</v>
      </c>
      <c r="V11" s="31" t="n">
        <v>0.01473792233451729</v>
      </c>
      <c r="W11" s="28" t="n">
        <v>0.8323658522057623</v>
      </c>
      <c r="X11" s="28" t="n">
        <v>0.6325532681333186</v>
      </c>
      <c r="Y11" s="28" t="n">
        <v>0.4181221099921025</v>
      </c>
      <c r="Z11" s="28" t="n">
        <v>0.2420857086204082</v>
      </c>
      <c r="AA11" s="28" t="n">
        <v>0.1242087871305758</v>
      </c>
      <c r="AB11" s="28" t="n">
        <v>0.05716857839417433</v>
      </c>
      <c r="AC11" s="29" t="n">
        <v>1.201394792145796</v>
      </c>
      <c r="AD11" s="29" t="n">
        <v>1.580894527588208</v>
      </c>
      <c r="AE11" s="29" t="n">
        <v>2.391645828102436</v>
      </c>
      <c r="AF11" s="29" t="n">
        <v>4.130768419576579</v>
      </c>
      <c r="AG11" s="29" t="n">
        <v>8.050960186486156</v>
      </c>
      <c r="AH11" s="29" t="n">
        <v>17.492126410859</v>
      </c>
      <c r="AI11" s="29" t="n">
        <v>5.965371692809562</v>
      </c>
      <c r="AJ11" s="29" t="n">
        <v>2.721482906977723</v>
      </c>
      <c r="AK11" s="29" t="n">
        <v>1.71857363404275</v>
      </c>
      <c r="AL11" s="29" t="n">
        <v>1.31941040217061</v>
      </c>
      <c r="AM11" s="29" t="n">
        <v>1.141824655586142</v>
      </c>
      <c r="AN11" s="29" t="n">
        <v>1.060634994850729</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not known</t>
        </is>
      </c>
      <c r="G12" s="26" t="n">
        <v>0</v>
      </c>
      <c r="H12" s="28" t="n"/>
      <c r="I12" s="29" t="n">
        <v>3.861702127659575</v>
      </c>
      <c r="J12" s="29" t="n">
        <v>3.824203463261887</v>
      </c>
      <c r="K12" s="30" t="n">
        <v>-0.009710397943202942</v>
      </c>
      <c r="L12" s="26" t="n">
        <v>3</v>
      </c>
      <c r="M12" s="26" t="inlineStr">
        <is>
          <t>0-5</t>
        </is>
      </c>
      <c r="N12" s="31" t="n">
        <v>0.02523050614990685</v>
      </c>
      <c r="O12" s="31" t="n">
        <v>0.08937626504343038</v>
      </c>
      <c r="P12" s="31" t="n">
        <v>0.1615959185326466</v>
      </c>
      <c r="Q12" s="31" t="n">
        <v>0.1987507854614812</v>
      </c>
      <c r="R12" s="31" t="n">
        <v>0.186997954357881</v>
      </c>
      <c r="S12" s="31" t="n">
        <v>0.1435081514281418</v>
      </c>
      <c r="T12" s="31" t="n">
        <v>0.09353982523960999</v>
      </c>
      <c r="U12" s="31" t="n">
        <v>0.05324477986214632</v>
      </c>
      <c r="V12" s="31" t="n">
        <v>0.02700998123674166</v>
      </c>
      <c r="W12" s="28" t="n">
        <v>0.8853932288066628</v>
      </c>
      <c r="X12" s="28" t="n">
        <v>0.7237973102740162</v>
      </c>
      <c r="Y12" s="28" t="n">
        <v>0.525046524812535</v>
      </c>
      <c r="Z12" s="28" t="n">
        <v>0.338048570454654</v>
      </c>
      <c r="AA12" s="28" t="n">
        <v>0.1945404190265122</v>
      </c>
      <c r="AB12" s="28" t="n">
        <v>0.1010005937869022</v>
      </c>
      <c r="AC12" s="29" t="n">
        <v>1.129441662150279</v>
      </c>
      <c r="AD12" s="29" t="n">
        <v>1.381602260474578</v>
      </c>
      <c r="AE12" s="29" t="n">
        <v>1.904593122213397</v>
      </c>
      <c r="AF12" s="29" t="n">
        <v>2.958154796084667</v>
      </c>
      <c r="AG12" s="29" t="n">
        <v>5.14031996540379</v>
      </c>
      <c r="AH12" s="29" t="n">
        <v>9.900931890656672</v>
      </c>
      <c r="AI12" s="29" t="n">
        <v>8.725487940961523</v>
      </c>
      <c r="AJ12" s="29" t="n">
        <v>3.620529550208521</v>
      </c>
      <c r="AK12" s="29" t="n">
        <v>2.105469382249068</v>
      </c>
      <c r="AL12" s="29" t="n">
        <v>1.51068485596721</v>
      </c>
      <c r="AM12" s="29" t="n">
        <v>1.24152722696698</v>
      </c>
      <c r="AN12" s="29" t="n">
        <v>1.11234778698281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4" t="inlineStr">
        <is>
          <t>HOW TO USE THIS SHEET</t>
        </is>
      </c>
    </row>
    <row r="23">
      <c r="A23" s="45" t="inlineStr"/>
    </row>
    <row r="24">
      <c r="A24" s="45" t="inlineStr">
        <is>
          <t>1. Fill the yellow columns only. Everything green is computed.</t>
        </is>
      </c>
    </row>
    <row r="25">
      <c r="A25" s="45" t="inlineStr"/>
    </row>
    <row r="26">
      <c r="A26" s="45" t="inlineStr">
        <is>
          <t>2. 'Settles on' must say what the market actually pays out on. Write 'yellow cards' only if the bookmaker settles on yellows alone. If it says total cards or booking points, BET? shows UNITS? and gives no verdict -- on purpose.</t>
        </is>
      </c>
    </row>
    <row r="27">
      <c r="A27" s="45" t="inlineStr"/>
    </row>
    <row r="28">
      <c r="A28" s="45"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5" t="inlineStr"/>
    </row>
    <row r="30">
      <c r="A30" s="45" t="inlineStr">
        <is>
          <t xml:space="preserve">   The market to look for is 'Yellow Cards', as in the Chelsea screenshot -- not 'Cards' and not 'Booking Points'.</t>
        </is>
      </c>
    </row>
    <row r="31">
      <c r="A31" s="45" t="inlineStr"/>
    </row>
    <row r="32">
      <c r="A32" s="45" t="inlineStr">
        <is>
          <t>3. Record BOTH sides of the price. With one side only, the de-vig cannot run and the implied probability is overstated by the whole margin, which invents edge that is not there.</t>
        </is>
      </c>
    </row>
    <row r="33">
      <c r="A33" s="45" t="inlineStr"/>
    </row>
    <row r="34">
      <c r="A34" s="45" t="inlineStr">
        <is>
          <t>4. Record the price when you see it, before kick-off. A price looked up afterwards is not one you could have taken.</t>
        </is>
      </c>
    </row>
    <row r="35">
      <c r="A35" s="45" t="inlineStr"/>
    </row>
    <row r="36">
      <c r="A36" s="45" t="inlineStr">
        <is>
          <t>5. Stake is EUR 100 a bet. Change the column if you want; the P/L follows it.</t>
        </is>
      </c>
    </row>
    <row r="37">
      <c r="A37" s="45" t="inlineStr"/>
    </row>
    <row r="38">
      <c r="A38" s="44" t="inlineStr">
        <is>
          <t>WHAT THIS SHEET IS AND IS NOT</t>
        </is>
      </c>
    </row>
    <row r="39">
      <c r="A39" s="45" t="inlineStr"/>
    </row>
    <row r="40">
      <c r="A40" s="45" t="inlineStr">
        <is>
          <t>11 fixtures. A sample this size tells you nothing about whether the model beats a bookmaker -- a verdict on profitability needs thousands of bets. Treat a single week as practice for the workflow.</t>
        </is>
      </c>
    </row>
    <row r="41">
      <c r="A41" s="45" t="inlineStr"/>
    </row>
    <row r="42">
      <c r="A42" s="45"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5" t="inlineStr"/>
    </row>
    <row r="44">
      <c r="A44" s="45" t="inlineStr">
        <is>
          <t>Model fingerprint d30beac40c73a847, frozen for the season.</t>
        </is>
      </c>
    </row>
    <row r="45">
      <c r="A45" s="45"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8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c r="BA16" s="33">
        <f>IF(OR($AX16="",$AX16="skip",$AX16="units?",$AX16="UNITS?",$AZ16="",$AQ16=""),"",IF($AX16="OVER",IF($AZ16&gt;$AQ16,"WON","LOST"),IF($AZ16&lt;$AQ16,"WON","LOST")))</f>
        <v/>
      </c>
      <c r="BB16" s="34">
        <f>IF($BA16="","",IF($BA16="WON",IF($AX16="OVER",$AT16*($AR16-1),$AT16*($AS16-1)),-$AT16))</f>
        <v/>
      </c>
      <c r="BC16" s="34">
        <f>IF(COUNT($BB$2:$BB16)=0,"",SUM($BB$2:$BB16))</f>
        <v/>
      </c>
      <c r="BD16" s="27" t="n"/>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c r="BA17" s="33">
        <f>IF(OR($AX17="",$AX17="skip",$AX17="units?",$AX17="UNITS?",$AZ17="",$AQ17=""),"",IF($AX17="OVER",IF($AZ17&gt;$AQ17,"WON","LOST"),IF($AZ17&lt;$AQ17,"WON","LOST")))</f>
        <v/>
      </c>
      <c r="BB17" s="34">
        <f>IF($BA17="","",IF($BA17="WON",IF($AX17="OVER",$AT17*($AR17-1),$AT17*($AS17-1)),-$AT17))</f>
        <v/>
      </c>
      <c r="BC17" s="34">
        <f>IF(COUNT($BB$2:$BB17)=0,"",SUM($BB$2:$BB17))</f>
        <v/>
      </c>
      <c r="BD17" s="27" t="n"/>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c r="BA18" s="33">
        <f>IF(OR($AX18="",$AX18="skip",$AX18="units?",$AX18="UNITS?",$AZ18="",$AQ18=""),"",IF($AX18="OVER",IF($AZ18&gt;$AQ18,"WON","LOST"),IF($AZ18&lt;$AQ18,"WON","LOST")))</f>
        <v/>
      </c>
      <c r="BB18" s="34">
        <f>IF($BA18="","",IF($BA18="WON",IF($AX18="OVER",$AT18*($AR18-1),$AT18*($AS18-1)),-$AT18))</f>
        <v/>
      </c>
      <c r="BC18" s="34">
        <f>IF(COUNT($BB$2:$BB18)=0,"",SUM($BB$2:$BB18))</f>
        <v/>
      </c>
      <c r="BD18" s="27" t="n"/>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c r="BA19" s="33">
        <f>IF(OR($AX19="",$AX19="skip",$AX19="units?",$AX19="UNITS?",$AZ19="",$AQ19=""),"",IF($AX19="OVER",IF($AZ19&gt;$AQ19,"WON","LOST"),IF($AZ19&lt;$AQ19,"WON","LOST")))</f>
        <v/>
      </c>
      <c r="BB19" s="34">
        <f>IF($BA19="","",IF($BA19="WON",IF($AX19="OVER",$AT19*($AR19-1),$AT19*($AS19-1)),-$AT19))</f>
        <v/>
      </c>
      <c r="BC19" s="34">
        <f>IF(COUNT($BB$2:$BB19)=0,"",SUM($BB$2:$BB19))</f>
        <v/>
      </c>
      <c r="BD19" s="27" t="n"/>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c r="BA20" s="33">
        <f>IF(OR($AX20="",$AX20="skip",$AX20="units?",$AX20="UNITS?",$AZ20="",$AQ20=""),"",IF($AX20="OVER",IF($AZ20&gt;$AQ20,"WON","LOST"),IF($AZ20&lt;$AQ20,"WON","LOST")))</f>
        <v/>
      </c>
      <c r="BB20" s="34">
        <f>IF($BA20="","",IF($BA20="WON",IF($AX20="OVER",$AT20*($AR20-1),$AT20*($AS20-1)),-$AT20))</f>
        <v/>
      </c>
      <c r="BC20" s="34">
        <f>IF(COUNT($BB$2:$BB20)=0,"",SUM($BB$2:$BB20))</f>
        <v/>
      </c>
      <c r="BD20" s="27" t="n"/>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c r="BA21" s="33">
        <f>IF(OR($AX21="",$AX21="skip",$AX21="units?",$AX21="UNITS?",$AZ21="",$AQ21=""),"",IF($AX21="OVER",IF($AZ21&gt;$AQ21,"WON","LOST"),IF($AZ21&lt;$AQ21,"WON","LOST")))</f>
        <v/>
      </c>
      <c r="BB21" s="34">
        <f>IF($BA21="","",IF($BA21="WON",IF($AX21="OVER",$AT21*($AR21-1),$AT21*($AS21-1)),-$AT21))</f>
        <v/>
      </c>
      <c r="BC21" s="34">
        <f>IF(COUNT($BB$2:$BB21)=0,"",SUM($BB$2:$BB21))</f>
        <v/>
      </c>
      <c r="BD21" s="27" t="n"/>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c r="BA22" s="33">
        <f>IF(OR($AX22="",$AX22="skip",$AX22="units?",$AX22="UNITS?",$AZ22="",$AQ22=""),"",IF($AX22="OVER",IF($AZ22&gt;$AQ22,"WON","LOST"),IF($AZ22&lt;$AQ22,"WON","LOST")))</f>
        <v/>
      </c>
      <c r="BB22" s="34">
        <f>IF($BA22="","",IF($BA22="WON",IF($AX22="OVER",$AT22*($AR22-1),$AT22*($AS22-1)),-$AT22))</f>
        <v/>
      </c>
      <c r="BC22" s="34">
        <f>IF(COUNT($BB$2:$BB22)=0,"",SUM($BB$2:$BB22))</f>
        <v/>
      </c>
      <c r="BD22" s="27" t="n"/>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c r="BA23" s="33">
        <f>IF(OR($AX23="",$AX23="skip",$AX23="units?",$AX23="UNITS?",$AZ23="",$AQ23=""),"",IF($AX23="OVER",IF($AZ23&gt;$AQ23,"WON","LOST"),IF($AZ23&lt;$AQ23,"WON","LOST")))</f>
        <v/>
      </c>
      <c r="BB23" s="34">
        <f>IF($BA23="","",IF($BA23="WON",IF($AX23="OVER",$AT23*($AR23-1),$AT23*($AS23-1)),-$AT23))</f>
        <v/>
      </c>
      <c r="BC23" s="34">
        <f>IF(COUNT($BB$2:$BB23)=0,"",SUM($BB$2:$BB23))</f>
        <v/>
      </c>
      <c r="BD23" s="27" t="n"/>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c r="BA24" s="33">
        <f>IF(OR($AX24="",$AX24="skip",$AX24="units?",$AX24="UNITS?",$AZ24="",$AQ24=""),"",IF($AX24="OVER",IF($AZ24&gt;$AQ24,"WON","LOST"),IF($AZ24&lt;$AQ24,"WON","LOST")))</f>
        <v/>
      </c>
      <c r="BB24" s="34">
        <f>IF($BA24="","",IF($BA24="WON",IF($AX24="OVER",$AT24*($AR24-1),$AT24*($AS24-1)),-$AT24))</f>
        <v/>
      </c>
      <c r="BC24" s="34">
        <f>IF(COUNT($BB$2:$BB24)=0,"",SUM($BB$2:$BB24))</f>
        <v/>
      </c>
      <c r="BD24" s="27" t="n"/>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c r="BA25" s="33">
        <f>IF(OR($AX25="",$AX25="skip",$AX25="units?",$AX25="UNITS?",$AZ25="",$AQ25=""),"",IF($AX25="OVER",IF($AZ25&gt;$AQ25,"WON","LOST"),IF($AZ25&lt;$AQ25,"WON","LOST")))</f>
        <v/>
      </c>
      <c r="BB25" s="34">
        <f>IF($BA25="","",IF($BA25="WON",IF($AX25="OVER",$AT25*($AR25-1),$AT25*($AS25-1)),-$AT25))</f>
        <v/>
      </c>
      <c r="BC25" s="34">
        <f>IF(COUNT($BB$2:$BB25)=0,"",SUM($BB$2:$BB25))</f>
        <v/>
      </c>
      <c r="BD25" s="27" t="n"/>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c r="BA26" s="33">
        <f>IF(OR($AX26="",$AX26="skip",$AX26="units?",$AX26="UNITS?",$AZ26="",$AQ26=""),"",IF($AX26="OVER",IF($AZ26&gt;$AQ26,"WON","LOST"),IF($AZ26&lt;$AQ26,"WON","LOST")))</f>
        <v/>
      </c>
      <c r="BB26" s="34">
        <f>IF($BA26="","",IF($BA26="WON",IF($AX26="OVER",$AT26*($AR26-1),$AT26*($AS26-1)),-$AT26))</f>
        <v/>
      </c>
      <c r="BC26" s="34">
        <f>IF(COUNT($BB$2:$BB26)=0,"",SUM($BB$2:$BB26))</f>
        <v/>
      </c>
      <c r="BD26" s="27" t="n"/>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c r="BA27" s="33">
        <f>IF(OR($AX27="",$AX27="skip",$AX27="units?",$AX27="UNITS?",$AZ27="",$AQ27=""),"",IF($AX27="OVER",IF($AZ27&gt;$AQ27,"WON","LOST"),IF($AZ27&lt;$AQ27,"WON","LOST")))</f>
        <v/>
      </c>
      <c r="BB27" s="34">
        <f>IF($BA27="","",IF($BA27="WON",IF($AX27="OVER",$AT27*($AR27-1),$AT27*($AS27-1)),-$AT27))</f>
        <v/>
      </c>
      <c r="BC27" s="34">
        <f>IF(COUNT($BB$2:$BB27)=0,"",SUM($BB$2:$BB27))</f>
        <v/>
      </c>
      <c r="BD27" s="27" t="n"/>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c r="BA28" s="33">
        <f>IF(OR($AX28="",$AX28="skip",$AX28="units?",$AX28="UNITS?",$AZ28="",$AQ28=""),"",IF($AX28="OVER",IF($AZ28&gt;$AQ28,"WON","LOST"),IF($AZ28&lt;$AQ28,"WON","LOST")))</f>
        <v/>
      </c>
      <c r="BB28" s="34">
        <f>IF($BA28="","",IF($BA28="WON",IF($AX28="OVER",$AT28*($AR28-1),$AT28*($AS28-1)),-$AT28))</f>
        <v/>
      </c>
      <c r="BC28" s="34">
        <f>IF(COUNT($BB$2:$BB28)=0,"",SUM($BB$2:$BB28))</f>
        <v/>
      </c>
      <c r="BD28" s="27" t="n"/>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c r="BA29" s="33">
        <f>IF(OR($AX29="",$AX29="skip",$AX29="units?",$AX29="UNITS?",$AZ29="",$AQ29=""),"",IF($AX29="OVER",IF($AZ29&gt;$AQ29,"WON","LOST"),IF($AZ29&lt;$AQ29,"WON","LOST")))</f>
        <v/>
      </c>
      <c r="BB29" s="34">
        <f>IF($BA29="","",IF($BA29="WON",IF($AX29="OVER",$AT29*($AR29-1),$AT29*($AS29-1)),-$AT29))</f>
        <v/>
      </c>
      <c r="BC29" s="34">
        <f>IF(COUNT($BB$2:$BB29)=0,"",SUM($BB$2:$BB29))</f>
        <v/>
      </c>
      <c r="BD29" s="27" t="n"/>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c r="BA30" s="33">
        <f>IF(OR($AX30="",$AX30="skip",$AX30="units?",$AX30="UNITS?",$AZ30="",$AQ30=""),"",IF($AX30="OVER",IF($AZ30&gt;$AQ30,"WON","LOST"),IF($AZ30&lt;$AQ30,"WON","LOST")))</f>
        <v/>
      </c>
      <c r="BB30" s="34">
        <f>IF($BA30="","",IF($BA30="WON",IF($AX30="OVER",$AT30*($AR30-1),$AT30*($AS30-1)),-$AT30))</f>
        <v/>
      </c>
      <c r="BC30" s="34">
        <f>IF(COUNT($BB$2:$BB30)=0,"",SUM($BB$2:$BB30))</f>
        <v/>
      </c>
      <c r="BD30" s="27" t="n"/>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c r="BA31" s="33">
        <f>IF(OR($AX31="",$AX31="skip",$AX31="units?",$AX31="UNITS?",$AZ31="",$AQ31=""),"",IF($AX31="OVER",IF($AZ31&gt;$AQ31,"WON","LOST"),IF($AZ31&lt;$AQ31,"WON","LOST")))</f>
        <v/>
      </c>
      <c r="BB31" s="34">
        <f>IF($BA31="","",IF($BA31="WON",IF($AX31="OVER",$AT31*($AR31-1),$AT31*($AS31-1)),-$AT31))</f>
        <v/>
      </c>
      <c r="BC31" s="34">
        <f>IF(COUNT($BB$2:$BB31)=0,"",SUM($BB$2:$BB31))</f>
        <v/>
      </c>
      <c r="BD31" s="27" t="n"/>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c r="BA32" s="33">
        <f>IF(OR($AX32="",$AX32="skip",$AX32="units?",$AX32="UNITS?",$AZ32="",$AQ32=""),"",IF($AX32="OVER",IF($AZ32&gt;$AQ32,"WON","LOST"),IF($AZ32&lt;$AQ32,"WON","LOST")))</f>
        <v/>
      </c>
      <c r="BB32" s="34">
        <f>IF($BA32="","",IF($BA32="WON",IF($AX32="OVER",$AT32*($AR32-1),$AT32*($AS32-1)),-$AT32))</f>
        <v/>
      </c>
      <c r="BC32" s="34">
        <f>IF(COUNT($BB$2:$BB32)=0,"",SUM($BB$2:$BB32))</f>
        <v/>
      </c>
      <c r="BD32" s="27" t="n"/>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c r="BA33" s="33">
        <f>IF(OR($AX33="",$AX33="skip",$AX33="units?",$AX33="UNITS?",$AZ33="",$AQ33=""),"",IF($AX33="OVER",IF($AZ33&gt;$AQ33,"WON","LOST"),IF($AZ33&lt;$AQ33,"WON","LOST")))</f>
        <v/>
      </c>
      <c r="BB33" s="34">
        <f>IF($BA33="","",IF($BA33="WON",IF($AX33="OVER",$AT33*($AR33-1),$AT33*($AS33-1)),-$AT33))</f>
        <v/>
      </c>
      <c r="BC33" s="34">
        <f>IF(COUNT($BB$2:$BB33)=0,"",SUM($BB$2:$BB33))</f>
        <v/>
      </c>
      <c r="BD33" s="27" t="n"/>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c r="BA34" s="33">
        <f>IF(OR($AX34="",$AX34="skip",$AX34="units?",$AX34="UNITS?",$AZ34="",$AQ34=""),"",IF($AX34="OVER",IF($AZ34&gt;$AQ34,"WON","LOST"),IF($AZ34&lt;$AQ34,"WON","LOST")))</f>
        <v/>
      </c>
      <c r="BB34" s="34">
        <f>IF($BA34="","",IF($BA34="WON",IF($AX34="OVER",$AT34*($AR34-1),$AT34*($AS34-1)),-$AT34))</f>
        <v/>
      </c>
      <c r="BC34" s="34">
        <f>IF(COUNT($BB$2:$BB34)=0,"",SUM($BB$2:$BB34))</f>
        <v/>
      </c>
      <c r="BD34" s="27" t="n"/>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c r="BA35" s="33">
        <f>IF(OR($AX35="",$AX35="skip",$AX35="units?",$AX35="UNITS?",$AZ35="",$AQ35=""),"",IF($AX35="OVER",IF($AZ35&gt;$AQ35,"WON","LOST"),IF($AZ35&lt;$AQ35,"WON","LOST")))</f>
        <v/>
      </c>
      <c r="BB35" s="34">
        <f>IF($BA35="","",IF($BA35="WON",IF($AX35="OVER",$AT35*($AR35-1),$AT35*($AS35-1)),-$AT35))</f>
        <v/>
      </c>
      <c r="BC35" s="34">
        <f>IF(COUNT($BB$2:$BB35)=0,"",SUM($BB$2:$BB35))</f>
        <v/>
      </c>
      <c r="BD35" s="27" t="n"/>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c r="BA36" s="33">
        <f>IF(OR($AX36="",$AX36="skip",$AX36="units?",$AX36="UNITS?",$AZ36="",$AQ36=""),"",IF($AX36="OVER",IF($AZ36&gt;$AQ36,"WON","LOST"),IF($AZ36&lt;$AQ36,"WON","LOST")))</f>
        <v/>
      </c>
      <c r="BB36" s="34">
        <f>IF($BA36="","",IF($BA36="WON",IF($AX36="OVER",$AT36*($AR36-1),$AT36*($AS36-1)),-$AT36))</f>
        <v/>
      </c>
      <c r="BC36" s="34">
        <f>IF(COUNT($BB$2:$BB36)=0,"",SUM($BB$2:$BB36))</f>
        <v/>
      </c>
      <c r="BD36" s="27" t="n"/>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c r="BA37" s="33">
        <f>IF(OR($AX37="",$AX37="skip",$AX37="units?",$AX37="UNITS?",$AZ37="",$AQ37=""),"",IF($AX37="OVER",IF($AZ37&gt;$AQ37,"WON","LOST"),IF($AZ37&lt;$AQ37,"WON","LOST")))</f>
        <v/>
      </c>
      <c r="BB37" s="34">
        <f>IF($BA37="","",IF($BA37="WON",IF($AX37="OVER",$AT37*($AR37-1),$AT37*($AS37-1)),-$AT37))</f>
        <v/>
      </c>
      <c r="BC37" s="34">
        <f>IF(COUNT($BB$2:$BB37)=0,"",SUM($BB$2:$BB37))</f>
        <v/>
      </c>
      <c r="BD37" s="27" t="n"/>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c r="BA38" s="33">
        <f>IF(OR($AX38="",$AX38="skip",$AX38="units?",$AX38="UNITS?",$AZ38="",$AQ38=""),"",IF($AX38="OVER",IF($AZ38&gt;$AQ38,"WON","LOST"),IF($AZ38&lt;$AQ38,"WON","LOST")))</f>
        <v/>
      </c>
      <c r="BB38" s="34">
        <f>IF($BA38="","",IF($BA38="WON",IF($AX38="OVER",$AT38*($AR38-1),$AT38*($AS38-1)),-$AT38))</f>
        <v/>
      </c>
      <c r="BC38" s="34">
        <f>IF(COUNT($BB$2:$BB38)=0,"",SUM($BB$2:$BB38))</f>
        <v/>
      </c>
      <c r="BD38" s="27" t="n"/>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c r="BA39" s="33">
        <f>IF(OR($AX39="",$AX39="skip",$AX39="units?",$AX39="UNITS?",$AZ39="",$AQ39=""),"",IF($AX39="OVER",IF($AZ39&gt;$AQ39,"WON","LOST"),IF($AZ39&lt;$AQ39,"WON","LOST")))</f>
        <v/>
      </c>
      <c r="BB39" s="34">
        <f>IF($BA39="","",IF($BA39="WON",IF($AX39="OVER",$AT39*($AR39-1),$AT39*($AS39-1)),-$AT39))</f>
        <v/>
      </c>
      <c r="BC39" s="34">
        <f>IF(COUNT($BB$2:$BB39)=0,"",SUM($BB$2:$BB39))</f>
        <v/>
      </c>
      <c r="BD39" s="27" t="n"/>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c r="BA40" s="33">
        <f>IF(OR($AX40="",$AX40="skip",$AX40="units?",$AX40="UNITS?",$AZ40="",$AQ40=""),"",IF($AX40="OVER",IF($AZ40&gt;$AQ40,"WON","LOST"),IF($AZ40&lt;$AQ40,"WON","LOST")))</f>
        <v/>
      </c>
      <c r="BB40" s="34">
        <f>IF($BA40="","",IF($BA40="WON",IF($AX40="OVER",$AT40*($AR40-1),$AT40*($AS40-1)),-$AT40))</f>
        <v/>
      </c>
      <c r="BC40" s="34">
        <f>IF(COUNT($BB$2:$BB40)=0,"",SUM($BB$2:$BB40))</f>
        <v/>
      </c>
      <c r="BD40" s="27" t="n"/>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c r="BA41" s="33">
        <f>IF(OR($AX41="",$AX41="skip",$AX41="units?",$AX41="UNITS?",$AZ41="",$AQ41=""),"",IF($AX41="OVER",IF($AZ41&gt;$AQ41,"WON","LOST"),IF($AZ41&lt;$AQ41,"WON","LOST")))</f>
        <v/>
      </c>
      <c r="BB41" s="34">
        <f>IF($BA41="","",IF($BA41="WON",IF($AX41="OVER",$AT41*($AR41-1),$AT41*($AS41-1)),-$AT41))</f>
        <v/>
      </c>
      <c r="BC41" s="34">
        <f>IF(COUNT($BB$2:$BB41)=0,"",SUM($BB$2:$BB41))</f>
        <v/>
      </c>
      <c r="BD41" s="27" t="n"/>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c r="BA42" s="33">
        <f>IF(OR($AX42="",$AX42="skip",$AX42="units?",$AX42="UNITS?",$AZ42="",$AQ42=""),"",IF($AX42="OVER",IF($AZ42&gt;$AQ42,"WON","LOST"),IF($AZ42&lt;$AQ42,"WON","LOST")))</f>
        <v/>
      </c>
      <c r="BB42" s="34">
        <f>IF($BA42="","",IF($BA42="WON",IF($AX42="OVER",$AT42*($AR42-1),$AT42*($AS42-1)),-$AT42))</f>
        <v/>
      </c>
      <c r="BC42" s="34">
        <f>IF(COUNT($BB$2:$BB42)=0,"",SUM($BB$2:$BB42))</f>
        <v/>
      </c>
      <c r="BD42" s="27" t="n"/>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c r="BA43" s="33">
        <f>IF(OR($AX43="",$AX43="skip",$AX43="units?",$AX43="UNITS?",$AZ43="",$AQ43=""),"",IF($AX43="OVER",IF($AZ43&gt;$AQ43,"WON","LOST"),IF($AZ43&lt;$AQ43,"WON","LOST")))</f>
        <v/>
      </c>
      <c r="BB43" s="34">
        <f>IF($BA43="","",IF($BA43="WON",IF($AX43="OVER",$AT43*($AR43-1),$AT43*($AS43-1)),-$AT43))</f>
        <v/>
      </c>
      <c r="BC43" s="34">
        <f>IF(COUNT($BB$2:$BB43)=0,"",SUM($BB$2:$BB43))</f>
        <v/>
      </c>
      <c r="BD43" s="27" t="n"/>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c r="BA44" s="33">
        <f>IF(OR($AX44="",$AX44="skip",$AX44="units?",$AX44="UNITS?",$AZ44="",$AQ44=""),"",IF($AX44="OVER",IF($AZ44&gt;$AQ44,"WON","LOST"),IF($AZ44&lt;$AQ44,"WON","LOST")))</f>
        <v/>
      </c>
      <c r="BB44" s="34">
        <f>IF($BA44="","",IF($BA44="WON",IF($AX44="OVER",$AT44*($AR44-1),$AT44*($AS44-1)),-$AT44))</f>
        <v/>
      </c>
      <c r="BC44" s="34">
        <f>IF(COUNT($BB$2:$BB44)=0,"",SUM($BB$2:$BB44))</f>
        <v/>
      </c>
      <c r="BD44" s="27" t="n"/>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c r="BA45" s="33">
        <f>IF(OR($AX45="",$AX45="skip",$AX45="units?",$AX45="UNITS?",$AZ45="",$AQ45=""),"",IF($AX45="OVER",IF($AZ45&gt;$AQ45,"WON","LOST"),IF($AZ45&lt;$AQ45,"WON","LOST")))</f>
        <v/>
      </c>
      <c r="BB45" s="34">
        <f>IF($BA45="","",IF($BA45="WON",IF($AX45="OVER",$AT45*($AR45-1),$AT45*($AS45-1)),-$AT45))</f>
        <v/>
      </c>
      <c r="BC45" s="34">
        <f>IF(COUNT($BB$2:$BB45)=0,"",SUM($BB$2:$BB45))</f>
        <v/>
      </c>
      <c r="BD45" s="27" t="n"/>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c r="BA46" s="33">
        <f>IF(OR($AX46="",$AX46="skip",$AX46="units?",$AX46="UNITS?",$AZ46="",$AQ46=""),"",IF($AX46="OVER",IF($AZ46&gt;$AQ46,"WON","LOST"),IF($AZ46&lt;$AQ46,"WON","LOST")))</f>
        <v/>
      </c>
      <c r="BB46" s="34">
        <f>IF($BA46="","",IF($BA46="WON",IF($AX46="OVER",$AT46*($AR46-1),$AT46*($AS46-1)),-$AT46))</f>
        <v/>
      </c>
      <c r="BC46" s="34">
        <f>IF(COUNT($BB$2:$BB46)=0,"",SUM($BB$2:$BB46))</f>
        <v/>
      </c>
      <c r="BD46" s="27" t="n"/>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46" t="inlineStr">
        <is>
          <t>HOW TO USE THIS SHEET</t>
        </is>
      </c>
    </row>
    <row r="58">
      <c r="A58" s="47" t="inlineStr"/>
    </row>
    <row r="59">
      <c r="A59" s="47" t="inlineStr">
        <is>
          <t>1. Fill the yellow columns only. Everything green is computed.</t>
        </is>
      </c>
    </row>
    <row r="60">
      <c r="A60" s="47" t="inlineStr"/>
    </row>
    <row r="61">
      <c r="A61" s="47" t="inlineStr">
        <is>
          <t>2. 'Settles on' must say what the market actually pays out on. Write 'yellow cards' only if the bookmaker settles on yellows alone. If it says total cards or booking points, BET? shows UNITS? and gives no verdict -- on purpose.</t>
        </is>
      </c>
    </row>
    <row r="62">
      <c r="A62" s="47" t="inlineStr"/>
    </row>
    <row r="63">
      <c r="A63" s="47"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7" t="inlineStr"/>
    </row>
    <row r="65">
      <c r="A65" s="47" t="inlineStr">
        <is>
          <t xml:space="preserve">   The market to look for is 'Yellow Cards', as in the Chelsea screenshot -- not 'Cards' and not 'Booking Points'.</t>
        </is>
      </c>
    </row>
    <row r="66">
      <c r="A66" s="47" t="inlineStr"/>
    </row>
    <row r="67">
      <c r="A67" s="47" t="inlineStr">
        <is>
          <t>3. Record BOTH sides of the price. With one side only, the de-vig cannot run and the implied probability is overstated by the whole margin, which invents edge that is not there.</t>
        </is>
      </c>
    </row>
    <row r="68">
      <c r="A68" s="47" t="inlineStr"/>
    </row>
    <row r="69">
      <c r="A69" s="47" t="inlineStr">
        <is>
          <t>4. Record the price when you see it, before kick-off. A price looked up afterwards is not one you could have taken.</t>
        </is>
      </c>
    </row>
    <row r="70">
      <c r="A70" s="47" t="inlineStr"/>
    </row>
    <row r="71">
      <c r="A71" s="47" t="inlineStr">
        <is>
          <t>5. Stake is EUR 100 a bet. Change the column if you want; the P/L follows it.</t>
        </is>
      </c>
    </row>
    <row r="72">
      <c r="A72" s="47" t="inlineStr"/>
    </row>
    <row r="73">
      <c r="A73" s="46" t="inlineStr">
        <is>
          <t>WHAT THIS SHEET IS AND IS NOT</t>
        </is>
      </c>
    </row>
    <row r="74">
      <c r="A74" s="47" t="inlineStr"/>
    </row>
    <row r="75">
      <c r="A75" s="47" t="inlineStr">
        <is>
          <t>46 fixtures. A sample this size tells you nothing about whether the model beats a bookmaker -- a verdict on profitability needs thousands of bets. Treat a single week as practice for the workflow.</t>
        </is>
      </c>
    </row>
    <row r="76">
      <c r="A76" s="47" t="inlineStr"/>
    </row>
    <row r="77">
      <c r="A77" s="47"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7" t="inlineStr"/>
    </row>
    <row r="79">
      <c r="A79" s="47" t="inlineStr">
        <is>
          <t>Model fingerprint d30beac40c73a847, frozen for the season.</t>
        </is>
      </c>
    </row>
    <row r="80">
      <c r="A80" s="47"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2026-09-28T14:03:53Z</dcterms:modified>
  <cp:lastModifiedBy>Artur Markosyan - ibdp2</cp:lastModifiedBy>
</cp:coreProperties>
</file>