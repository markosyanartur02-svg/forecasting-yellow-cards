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20" tabRatio="600" firstSheet="0" activeTab="0" autoFilterDateGrouping="1"/>
  </bookViews>
  <sheets>
    <sheet name="Predictions" sheetId="1" state="visible" r:id="rId1"/>
    <sheet name="Scoring" sheetId="2" state="visible" r:id="rId2"/>
    <sheet name="Read me" sheetId="3" state="visible" r:id="rId3"/>
    <sheet name="Week 26 Sep" sheetId="4" state="visible" r:id="rId4"/>
  </sheets>
  <definedNames/>
  <calcPr calcId="191029" fullCalcOnLoad="1"/>
</workbook>
</file>

<file path=xl/styles.xml><?xml version="1.0" encoding="utf-8"?>
<styleSheet xmlns="http://schemas.openxmlformats.org/spreadsheetml/2006/main">
  <numFmts count="3">
    <numFmt numFmtId="164" formatCode="0.0%"/>
    <numFmt numFmtId="165" formatCode="\+0.00;\-0.00;0.00"/>
    <numFmt numFmtId="166" formatCode="+0.0%;-0.0%"/>
  </numFmts>
  <fonts count="15">
    <font>
      <name val="Calibri"/>
      <family val="2"/>
      <color theme="1"/>
      <sz val="11"/>
      <scheme val="minor"/>
    </font>
    <font>
      <name val="Arial"/>
      <family val="2"/>
      <b val="1"/>
      <color rgb="FFFFFFFF"/>
      <sz val="9"/>
    </font>
    <font>
      <name val="Arial"/>
      <family val="2"/>
      <sz val="9"/>
    </font>
    <font>
      <name val="Arial"/>
      <family val="2"/>
      <b val="1"/>
      <sz val="9"/>
    </font>
    <font>
      <name val="Arial"/>
      <family val="2"/>
      <b val="1"/>
      <i val="1"/>
      <sz val="9"/>
    </font>
    <font>
      <name val="Arial"/>
      <family val="2"/>
      <i val="1"/>
      <sz val="9"/>
    </font>
    <font>
      <name val="Arial"/>
      <family val="2"/>
      <b val="1"/>
      <sz val="10"/>
    </font>
    <font>
      <name val="Arial"/>
      <family val="2"/>
      <sz val="10"/>
    </font>
    <font>
      <name val="Arial"/>
      <family val="2"/>
      <b val="1"/>
      <color rgb="FFFFFFFF"/>
      <sz val="10"/>
    </font>
    <font>
      <name val="Arial"/>
      <family val="2"/>
      <i val="1"/>
      <sz val="10"/>
    </font>
    <font>
      <name val="Arial"/>
      <family val="2"/>
      <b val="1"/>
      <sz val="11"/>
    </font>
    <font>
      <name val="Arial"/>
      <family val="2"/>
      <sz val="11"/>
    </font>
    <font>
      <name val="Arial"/>
      <b val="1"/>
      <color rgb="00FFFFFF"/>
      <sz val="9"/>
    </font>
    <font>
      <name val="Arial"/>
      <sz val="9"/>
    </font>
    <font>
      <name val="Arial"/>
      <b val="1"/>
      <sz val="9"/>
    </font>
  </fonts>
  <fills count="9">
    <fill>
      <patternFill/>
    </fill>
    <fill>
      <patternFill patternType="gray125"/>
    </fill>
    <fill>
      <patternFill patternType="solid">
        <fgColor rgb="FF1F3864"/>
      </patternFill>
    </fill>
    <fill>
      <patternFill patternType="solid">
        <fgColor rgb="FFFFF2CC"/>
      </patternFill>
    </fill>
    <fill>
      <patternFill patternType="solid">
        <fgColor rgb="FFEDEDED"/>
      </patternFill>
    </fill>
    <fill>
      <patternFill patternType="solid">
        <fgColor rgb="001F3864"/>
      </patternFill>
    </fill>
    <fill>
      <patternFill patternType="solid">
        <fgColor rgb="002E5C9A"/>
      </patternFill>
    </fill>
    <fill>
      <patternFill patternType="solid">
        <fgColor rgb="00FFF2CC"/>
      </patternFill>
    </fill>
    <fill>
      <patternFill patternType="solid">
        <fgColor rgb="00E2EFDA"/>
      </patternFill>
    </fill>
  </fills>
  <borders count="3">
    <border>
      <left/>
      <right/>
      <top/>
      <bottom/>
      <diagonal/>
    </border>
    <border>
      <left/>
      <right/>
      <top/>
      <bottom style="thin">
        <color rgb="FFBFBFBF"/>
      </bottom>
      <diagonal/>
    </border>
    <border>
      <bottom style="thin">
        <color rgb="00BFBFBF"/>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2" fontId="2" fillId="0" borderId="1" applyAlignment="1" pivotButton="0" quotePrefix="0" xfId="0">
      <alignment horizontal="center"/>
    </xf>
    <xf numFmtId="164" fontId="2" fillId="0" borderId="1" applyAlignment="1" pivotButton="0" quotePrefix="0" xfId="0">
      <alignment horizontal="center"/>
    </xf>
    <xf numFmtId="0" fontId="2" fillId="0" borderId="1" applyAlignment="1" pivotButton="0" quotePrefix="0" xfId="0">
      <alignment horizontal="center"/>
    </xf>
    <xf numFmtId="0" fontId="3" fillId="3" borderId="1" pivotButton="0" quotePrefix="0" xfId="0"/>
    <xf numFmtId="165" fontId="2" fillId="0" borderId="1" applyAlignment="1" pivotButton="0" quotePrefix="0" xfId="0">
      <alignment horizontal="center"/>
    </xf>
    <xf numFmtId="0" fontId="2" fillId="3" borderId="1" pivotButton="0" quotePrefix="0" xfId="0"/>
    <xf numFmtId="0" fontId="4" fillId="0" borderId="0" pivotButton="0" quotePrefix="0" xfId="0"/>
    <xf numFmtId="0" fontId="5" fillId="4" borderId="0" applyAlignment="1" pivotButton="0" quotePrefix="0" xfId="0">
      <alignment horizontal="center"/>
    </xf>
    <xf numFmtId="2" fontId="5" fillId="4" borderId="0" applyAlignment="1" pivotButton="0" quotePrefix="0" xfId="0">
      <alignment horizontal="center"/>
    </xf>
    <xf numFmtId="164" fontId="5" fillId="4" borderId="0" applyAlignment="1" pivotButton="0" quotePrefix="0" xfId="0">
      <alignment horizontal="center"/>
    </xf>
    <xf numFmtId="165" fontId="5" fillId="4" borderId="0" applyAlignment="1" pivotButton="0" quotePrefix="0" xfId="0">
      <alignment horizontal="center"/>
    </xf>
    <xf numFmtId="0" fontId="5" fillId="4" borderId="0" applyAlignment="1" pivotButton="0" quotePrefix="0" xfId="0">
      <alignment horizontal="left"/>
    </xf>
    <xf numFmtId="0" fontId="8" fillId="2" borderId="0" pivotButton="0" quotePrefix="0" xfId="0"/>
    <xf numFmtId="0" fontId="7" fillId="0" borderId="0" pivotButton="0" quotePrefix="0" xfId="0"/>
    <xf numFmtId="0" fontId="9" fillId="0" borderId="0" pivotButton="0" quotePrefix="0" xfId="0"/>
    <xf numFmtId="2" fontId="7" fillId="0" borderId="0" pivotButton="0" quotePrefix="0" xfId="0"/>
    <xf numFmtId="0" fontId="6" fillId="0" borderId="0" pivotButton="0" quotePrefix="0" xfId="0"/>
    <xf numFmtId="164" fontId="7" fillId="0" borderId="0" pivotButton="0" quotePrefix="0" xfId="0"/>
    <xf numFmtId="165" fontId="7"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2" fillId="5" borderId="0" applyAlignment="1" pivotButton="0" quotePrefix="0" xfId="0">
      <alignment horizontal="center" vertical="center" wrapText="1"/>
    </xf>
    <xf numFmtId="0" fontId="12" fillId="6" borderId="0" applyAlignment="1" pivotButton="0" quotePrefix="0" xfId="0">
      <alignment horizontal="center" vertical="center" wrapText="1"/>
    </xf>
    <xf numFmtId="0" fontId="13" fillId="0" borderId="2" pivotButton="0" quotePrefix="0" xfId="0"/>
    <xf numFmtId="0" fontId="13" fillId="7" borderId="2" pivotButton="0" quotePrefix="0" xfId="0"/>
    <xf numFmtId="164" fontId="13" fillId="0" borderId="2" pivotButton="0" quotePrefix="0" xfId="0"/>
    <xf numFmtId="2" fontId="13" fillId="0" borderId="2" pivotButton="0" quotePrefix="0" xfId="0"/>
    <xf numFmtId="166" fontId="13" fillId="0" borderId="2" pivotButton="0" quotePrefix="0" xfId="0"/>
    <xf numFmtId="9" fontId="13" fillId="0" borderId="2" pivotButton="0" quotePrefix="0" xfId="0"/>
    <xf numFmtId="164" fontId="13" fillId="8" borderId="2" pivotButton="0" quotePrefix="0" xfId="0"/>
    <xf numFmtId="0" fontId="13" fillId="8" borderId="2" pivotButton="0" quotePrefix="0" xfId="0"/>
    <xf numFmtId="2" fontId="13" fillId="8" borderId="2" pivotButton="0" quotePrefix="0" xfId="0"/>
    <xf numFmtId="0" fontId="14" fillId="0" borderId="0" pivotButton="0" quotePrefix="0" xfId="0"/>
    <xf numFmtId="0" fontId="13" fillId="0" borderId="0" pivotButton="0" quotePrefix="0" xfId="0"/>
    <xf numFmtId="1" fontId="14" fillId="0" borderId="0" pivotButton="0" quotePrefix="0" xfId="0"/>
    <xf numFmtId="2" fontId="14" fillId="0" borderId="0" pivotButton="0" quotePrefix="0" xfId="0"/>
    <xf numFmtId="164" fontId="14" fillId="0" borderId="0" pivotButton="0" quotePrefix="0" xfId="0"/>
    <xf numFmtId="0" fontId="14" fillId="0" borderId="0" applyAlignment="1" pivotButton="0" quotePrefix="0" xfId="0">
      <alignment vertical="top"/>
    </xf>
    <xf numFmtId="0" fontId="13" fillId="0" borderId="0" applyAlignment="1" pivotButton="0" quotePrefix="0" xfId="0">
      <alignment vertical="top"/>
    </xf>
    <xf numFmtId="0" fontId="14" fillId="0" borderId="0" applyAlignment="1" pivotButton="0" quotePrefix="0" xfId="0">
      <alignment vertical="top"/>
    </xf>
    <xf numFmtId="0" fontId="13"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9"/>
  <sheetViews>
    <sheetView tabSelected="1" workbookViewId="0">
      <pane xSplit="5" ySplit="1" topLeftCell="AM2" activePane="bottomRight" state="frozen"/>
      <selection pane="topRight" activeCell="A1" sqref="A1"/>
      <selection pane="bottomLeft" activeCell="A1" sqref="A1"/>
      <selection pane="bottomRight" activeCell="V24" sqref="V24"/>
    </sheetView>
  </sheetViews>
  <sheetFormatPr baseColWidth="10" defaultColWidth="8.83203125" defaultRowHeight="15"/>
  <cols>
    <col width="11" customWidth="1" min="1" max="1"/>
    <col width="6" customWidth="1" min="2" max="2"/>
    <col width="15" customWidth="1" min="3" max="3"/>
    <col width="16" customWidth="1" min="4" max="5"/>
    <col width="10" customWidth="1" min="6" max="6"/>
    <col width="12" customWidth="1" min="7" max="7"/>
    <col width="9" customWidth="1" min="8" max="13"/>
    <col width="11" customWidth="1" min="14" max="19"/>
    <col width="12" customWidth="1" min="20" max="25"/>
    <col width="7" customWidth="1" min="26" max="34"/>
    <col width="14" customWidth="1" min="35" max="35"/>
    <col width="9" customWidth="1" min="36" max="36"/>
    <col width="10" customWidth="1" min="37" max="37"/>
    <col width="13" customWidth="1" min="38" max="38"/>
    <col width="12" customWidth="1" min="39" max="39"/>
    <col width="9" customWidth="1" min="40" max="40"/>
    <col width="10" customWidth="1" min="41" max="42"/>
    <col width="12" customWidth="1" min="43" max="43"/>
    <col width="13" customWidth="1" min="44" max="46"/>
    <col width="8" customWidth="1" min="47" max="47"/>
    <col width="9" customWidth="1" min="48" max="48"/>
    <col width="8" customWidth="1" min="49" max="50"/>
    <col width="9" customWidth="1" min="51" max="51"/>
    <col width="20" customWidth="1" min="52" max="52"/>
  </cols>
  <sheetData>
    <row r="1" ht="34" customHeight="1">
      <c r="A1" s="1" t="inlineStr">
        <is>
          <t>Date</t>
        </is>
      </c>
      <c r="B1" s="1" t="inlineStr">
        <is>
          <t>Div</t>
        </is>
      </c>
      <c r="C1" s="1" t="inlineStr">
        <is>
          <t>League</t>
        </is>
      </c>
      <c r="D1" s="1" t="inlineStr">
        <is>
          <t>Home</t>
        </is>
      </c>
      <c r="E1" s="1" t="inlineStr">
        <is>
          <t>Away</t>
        </is>
      </c>
      <c r="F1" s="1" t="inlineStr">
        <is>
          <t>League avg</t>
        </is>
      </c>
      <c r="G1" s="1" t="inlineStr">
        <is>
          <t>Model expects</t>
        </is>
      </c>
      <c r="H1" s="1" t="inlineStr">
        <is>
          <t>P(o1.5)</t>
        </is>
      </c>
      <c r="I1" s="1" t="inlineStr">
        <is>
          <t>P(o2.5)</t>
        </is>
      </c>
      <c r="J1" s="1" t="inlineStr">
        <is>
          <t>P(o3.5)</t>
        </is>
      </c>
      <c r="K1" s="1" t="inlineStr">
        <is>
          <t>P(o4.5)</t>
        </is>
      </c>
      <c r="L1" s="1" t="inlineStr">
        <is>
          <t>P(o5.5)</t>
        </is>
      </c>
      <c r="M1" s="1" t="inlineStr">
        <is>
          <t>P(o6.5)</t>
        </is>
      </c>
      <c r="N1" s="1" t="inlineStr">
        <is>
          <t>FAIR over 1.5</t>
        </is>
      </c>
      <c r="O1" s="1" t="inlineStr">
        <is>
          <t>FAIR over 2.5</t>
        </is>
      </c>
      <c r="P1" s="1" t="inlineStr">
        <is>
          <t>FAIR over 3.5</t>
        </is>
      </c>
      <c r="Q1" s="1" t="inlineStr">
        <is>
          <t>FAIR over 4.5</t>
        </is>
      </c>
      <c r="R1" s="1" t="inlineStr">
        <is>
          <t>FAIR over 5.5</t>
        </is>
      </c>
      <c r="S1" s="1" t="inlineStr">
        <is>
          <t>FAIR over 6.5</t>
        </is>
      </c>
      <c r="T1" s="1" t="inlineStr">
        <is>
          <t>FAIR under 1.5</t>
        </is>
      </c>
      <c r="U1" s="1" t="inlineStr">
        <is>
          <t>FAIR under 2.5</t>
        </is>
      </c>
      <c r="V1" s="1" t="inlineStr">
        <is>
          <t>FAIR under 3.5</t>
        </is>
      </c>
      <c r="W1" s="1" t="inlineStr">
        <is>
          <t>FAIR under 4.5</t>
        </is>
      </c>
      <c r="X1" s="1" t="inlineStr">
        <is>
          <t>FAIR under 5.5</t>
        </is>
      </c>
      <c r="Y1" s="1" t="inlineStr">
        <is>
          <t>FAIR under 6.5</t>
        </is>
      </c>
      <c r="Z1" s="1" t="inlineStr">
        <is>
          <t>P(0)</t>
        </is>
      </c>
      <c r="AA1" s="1" t="inlineStr">
        <is>
          <t>P(1)</t>
        </is>
      </c>
      <c r="AB1" s="1" t="inlineStr">
        <is>
          <t>P(2)</t>
        </is>
      </c>
      <c r="AC1" s="1" t="inlineStr">
        <is>
          <t>P(3)</t>
        </is>
      </c>
      <c r="AD1" s="1" t="inlineStr">
        <is>
          <t>P(4)</t>
        </is>
      </c>
      <c r="AE1" s="1" t="inlineStr">
        <is>
          <t>P(5)</t>
        </is>
      </c>
      <c r="AF1" s="1" t="inlineStr">
        <is>
          <t>P(6)</t>
        </is>
      </c>
      <c r="AG1" s="1" t="inlineStr">
        <is>
          <t>P(7)</t>
        </is>
      </c>
      <c r="AH1" s="1" t="inlineStr">
        <is>
          <t>P(8)</t>
        </is>
      </c>
      <c r="AI1" s="1" t="inlineStr">
        <is>
          <t>Referee used</t>
        </is>
      </c>
      <c r="AJ1" s="1" t="inlineStr">
        <is>
          <t>Ref x avg</t>
        </is>
      </c>
      <c r="AK1" s="1" t="inlineStr">
        <is>
          <t>Ref matches</t>
        </is>
      </c>
      <c r="AL1" s="1" t="inlineStr">
        <is>
          <t>ACTUAL yellows</t>
        </is>
      </c>
      <c r="AM1" s="1" t="inlineStr">
        <is>
          <t>Bookmaker</t>
        </is>
      </c>
      <c r="AN1" s="1" t="inlineStr">
        <is>
          <t>Card line</t>
        </is>
      </c>
      <c r="AO1" s="1" t="inlineStr">
        <is>
          <t>Over price</t>
        </is>
      </c>
      <c r="AP1" s="1" t="inlineStr">
        <is>
          <t>Under price</t>
        </is>
      </c>
      <c r="AQ1" s="1" t="inlineStr">
        <is>
          <t>Model P(over)</t>
        </is>
      </c>
      <c r="AR1" s="1" t="inlineStr">
        <is>
          <t>Model FAIR over</t>
        </is>
      </c>
      <c r="AS1" s="1" t="inlineStr">
        <is>
          <t>Model FAIR under</t>
        </is>
      </c>
      <c r="AT1" s="1" t="inlineStr">
        <is>
          <t>Implied P(over)</t>
        </is>
      </c>
      <c r="AU1" s="1" t="inlineStr">
        <is>
          <t>Edge</t>
        </is>
      </c>
      <c r="AV1" s="1" t="inlineStr">
        <is>
          <t>BET?</t>
        </is>
      </c>
      <c r="AW1" s="1" t="inlineStr">
        <is>
          <t>EV</t>
        </is>
      </c>
      <c r="AX1" s="1" t="inlineStr">
        <is>
          <t>Won?</t>
        </is>
      </c>
      <c r="AY1" s="1" t="inlineStr">
        <is>
          <t>P/L units</t>
        </is>
      </c>
      <c r="AZ1" s="1" t="inlineStr">
        <is>
          <t>Notes</t>
        </is>
      </c>
    </row>
    <row r="2">
      <c r="A2" s="2" t="inlineStr">
        <is>
          <t>2026-09-18</t>
        </is>
      </c>
      <c r="B2" s="2" t="inlineStr">
        <is>
          <t>E0</t>
        </is>
      </c>
      <c r="C2" s="2" t="inlineStr">
        <is>
          <t>Premier League</t>
        </is>
      </c>
      <c r="D2" s="2" t="inlineStr">
        <is>
          <t>Brentford</t>
        </is>
      </c>
      <c r="E2" s="2" t="inlineStr">
        <is>
          <t>Chelsea</t>
        </is>
      </c>
      <c r="F2" s="3" t="n">
        <v>3.9</v>
      </c>
      <c r="G2" s="3" t="n">
        <v>4.006867247515418</v>
      </c>
      <c r="H2" s="4" t="n">
        <v>0.8998337663680021</v>
      </c>
      <c r="I2" s="4" t="n">
        <v>0.7510397390188238</v>
      </c>
      <c r="J2" s="4" t="n">
        <v>0.5599991095806545</v>
      </c>
      <c r="K2" s="4" t="n">
        <v>0.3723466631151165</v>
      </c>
      <c r="L2" s="4" t="n">
        <v>0.2219868917782395</v>
      </c>
      <c r="M2" s="4" t="n">
        <v>0.1196516620463246</v>
      </c>
      <c r="N2" s="3" t="n">
        <v>1.111316375730485</v>
      </c>
      <c r="O2" s="3" t="n">
        <v>1.331487467369468</v>
      </c>
      <c r="P2" s="3" t="n">
        <v>1.785717125066203</v>
      </c>
      <c r="Q2" s="3" t="n">
        <v>2.68566929439847</v>
      </c>
      <c r="R2" s="3" t="n">
        <v>4.504770493381114</v>
      </c>
      <c r="S2" s="3" t="n">
        <v>8.357593892952677</v>
      </c>
      <c r="T2" s="3" t="n">
        <v>9.983404224560477</v>
      </c>
      <c r="U2" s="3" t="n">
        <v>4.016705300913906</v>
      </c>
      <c r="V2" s="3" t="n">
        <v>2.272722673463101</v>
      </c>
      <c r="W2" s="3" t="n">
        <v>1.59323617231626</v>
      </c>
      <c r="X2" s="3" t="n">
        <v>1.285325387750364</v>
      </c>
      <c r="Y2" s="3" t="n">
        <v>1.135913997775527</v>
      </c>
      <c r="Z2" s="4" t="n">
        <v>0.02132456043315388</v>
      </c>
      <c r="AA2" s="4" t="n">
        <v>0.07884167319884412</v>
      </c>
      <c r="AB2" s="4" t="n">
        <v>0.1487940273491782</v>
      </c>
      <c r="AC2" s="4" t="n">
        <v>0.1910406294381694</v>
      </c>
      <c r="AD2" s="4" t="n">
        <v>0.1876524464655378</v>
      </c>
      <c r="AE2" s="4" t="n">
        <v>0.1503597713368771</v>
      </c>
      <c r="AF2" s="4" t="n">
        <v>0.1023352297319148</v>
      </c>
      <c r="AG2" s="4" t="n">
        <v>0.06082941896472745</v>
      </c>
      <c r="AH2" s="4" t="n">
        <v>0.0322256856773822</v>
      </c>
      <c r="AI2" s="5" t="inlineStr">
        <is>
          <t>a madley</t>
        </is>
      </c>
      <c r="AJ2" s="3" t="n">
        <v>0.8205128205128206</v>
      </c>
      <c r="AK2" s="5" t="n">
        <v>394</v>
      </c>
      <c r="AL2" s="6" t="n">
        <v>2</v>
      </c>
      <c r="AM2" s="6" t="inlineStr">
        <is>
          <t>screenshot</t>
        </is>
      </c>
      <c r="AN2" s="6" t="n">
        <v>3.5</v>
      </c>
      <c r="AO2" s="6" t="n">
        <v>1.5</v>
      </c>
      <c r="AP2" s="6" t="n">
        <v>2.34</v>
      </c>
      <c r="AQ2" s="4">
        <f>IFERROR(IF($AN2="","",INDEX($H2:$M2,$AN2-0.5)),"line must be 1.5-6.5")</f>
        <v/>
      </c>
      <c r="AR2" s="3">
        <f>IF(ISNUMBER($AQ2),1/$AQ2,"")</f>
        <v/>
      </c>
      <c r="AS2" s="3">
        <f>IF(ISNUMBER($AQ2),1/(1-$AQ2),"")</f>
        <v/>
      </c>
      <c r="AT2" s="4">
        <f>IF($AO2="","",IF($AP2="",1/$AO2,(1/$AO2)/((1/$AO2)+(1/$AP2))))</f>
        <v/>
      </c>
      <c r="AU2" s="4">
        <f>IF(OR(NOT(ISNUMBER($AQ2)),$AT2=""),"",$AQ2-$AT2)</f>
        <v/>
      </c>
      <c r="AV2" s="5">
        <f>IF($AU2="","",IF($AU2&gt;=0.05,"OVER",IF($AU2&lt;=-0.05,"UNDER","skip")))</f>
        <v/>
      </c>
      <c r="AW2" s="4">
        <f>IF($AV2="OVER",$AQ2*$AO2-1,IF($AV2="UNDER",IF($AP2="","need under price",(1-$AQ2)*$AP2-1),""))</f>
        <v/>
      </c>
      <c r="AX2" s="5">
        <f>IF(OR($AV2="",$AV2="skip",$AL2="",$AN2=""),"",IF($AV2="OVER",IF($AL2&gt;$AN2,"WON","LOST"),IF($AL2&lt;$AN2,"WON","LOST")))</f>
        <v/>
      </c>
      <c r="AY2" s="7">
        <f>IF($AX2="","",IF($AX2="WON",IF($AV2="OVER",$AO2-1,$AP2-1),-1))</f>
        <v/>
      </c>
      <c r="AZ2" s="6" t="inlineStr">
        <is>
          <t>also offered o4.5 2.14 / u4.5 1.60; actual from BBC 2026-09-18 (provisional, ~97% exact vs football-data)</t>
        </is>
      </c>
    </row>
    <row r="3">
      <c r="A3" s="2" t="inlineStr">
        <is>
          <t>2026-09-19</t>
        </is>
      </c>
      <c r="B3" s="2" t="inlineStr">
        <is>
          <t>E0</t>
        </is>
      </c>
      <c r="C3" s="2" t="inlineStr">
        <is>
          <t>Premier League</t>
        </is>
      </c>
      <c r="D3" s="2" t="inlineStr">
        <is>
          <t>Tottenham</t>
        </is>
      </c>
      <c r="E3" s="2" t="inlineStr">
        <is>
          <t>Aston Villa</t>
        </is>
      </c>
      <c r="F3" s="3" t="n">
        <v>3.9</v>
      </c>
      <c r="G3" s="3" t="n">
        <v>4.25261533139379</v>
      </c>
      <c r="H3" s="4" t="n">
        <v>0.9165715761546185</v>
      </c>
      <c r="I3" s="4" t="n">
        <v>0.7841575394147868</v>
      </c>
      <c r="J3" s="4" t="n">
        <v>0.6045717812944974</v>
      </c>
      <c r="K3" s="4" t="n">
        <v>0.4182352494172183</v>
      </c>
      <c r="L3" s="4" t="n">
        <v>0.2605202280396928</v>
      </c>
      <c r="M3" s="4" t="n">
        <v>0.1471329847511815</v>
      </c>
      <c r="N3" s="3" t="n">
        <v>1.091022268217608</v>
      </c>
      <c r="O3" s="3" t="n">
        <v>1.275253950559852</v>
      </c>
      <c r="P3" s="3" t="n">
        <v>1.654063307187146</v>
      </c>
      <c r="Q3" s="3" t="n">
        <v>2.390998849076997</v>
      </c>
      <c r="R3" s="3" t="n">
        <v>3.838473532456913</v>
      </c>
      <c r="S3" s="3" t="n">
        <v>6.796572513574117</v>
      </c>
      <c r="T3" s="3" t="n">
        <v>11.98632257338706</v>
      </c>
      <c r="U3" s="3" t="n">
        <v>4.633008710560018</v>
      </c>
      <c r="V3" s="3" t="n">
        <v>2.528903989891413</v>
      </c>
      <c r="W3" s="3" t="n">
        <v>1.718907855792658</v>
      </c>
      <c r="X3" s="3" t="n">
        <v>1.352302034373533</v>
      </c>
      <c r="Y3" s="3" t="n">
        <v>1.172515740579153</v>
      </c>
      <c r="Z3" s="4" t="n">
        <v>0.01700722134294953</v>
      </c>
      <c r="AA3" s="4" t="n">
        <v>0.06642120250243201</v>
      </c>
      <c r="AB3" s="4" t="n">
        <v>0.1324140367398317</v>
      </c>
      <c r="AC3" s="4" t="n">
        <v>0.1795857581202894</v>
      </c>
      <c r="AD3" s="4" t="n">
        <v>0.1863365318772791</v>
      </c>
      <c r="AE3" s="4" t="n">
        <v>0.1577150213775256</v>
      </c>
      <c r="AF3" s="4" t="n">
        <v>0.1133872432885112</v>
      </c>
      <c r="AG3" s="4" t="n">
        <v>0.07119513556015529</v>
      </c>
      <c r="AH3" s="4" t="n">
        <v>0.03984157011350749</v>
      </c>
      <c r="AI3" s="5" t="inlineStr">
        <is>
          <t>s barrott</t>
        </is>
      </c>
      <c r="AJ3" s="3" t="n">
        <v>0.9487179487179488</v>
      </c>
      <c r="AK3" s="5" t="n">
        <v>167</v>
      </c>
      <c r="AL3" s="8" t="n">
        <v>3</v>
      </c>
      <c r="AM3" s="8" t="n"/>
      <c r="AN3" s="8" t="n"/>
      <c r="AO3" s="8" t="n"/>
      <c r="AP3" s="8" t="n"/>
      <c r="AQ3" s="4">
        <f>IFERROR(IF($AN3="","",INDEX($H3:$M3,$AN3-0.5)),"line must be 1.5-6.5")</f>
        <v/>
      </c>
      <c r="AR3" s="3">
        <f>IF(ISNUMBER($AQ3),1/$AQ3,"")</f>
        <v/>
      </c>
      <c r="AS3" s="3">
        <f>IF(ISNUMBER($AQ3),1/(1-$AQ3),"")</f>
        <v/>
      </c>
      <c r="AT3" s="4">
        <f>IF($AO3="","",IF($AP3="",1/$AO3,(1/$AO3)/((1/$AO3)+(1/$AP3))))</f>
        <v/>
      </c>
      <c r="AU3" s="4">
        <f>IF(OR(NOT(ISNUMBER($AQ3)),$AT3=""),"",$AQ3-$AT3)</f>
        <v/>
      </c>
      <c r="AV3" s="5">
        <f>IF($AU3="","",IF($AU3&gt;=0.05,"OVER",IF($AU3&lt;=-0.05,"UNDER","skip")))</f>
        <v/>
      </c>
      <c r="AW3" s="4">
        <f>IF($AV3="OVER",$AQ3*$AO3-1,IF($AV3="UNDER",IF($AP3="","need under price",(1-$AQ3)*$AP3-1),""))</f>
        <v/>
      </c>
      <c r="AX3" s="5">
        <f>IF(OR($AV3="",$AV3="skip",$AL3="",$AN3=""),"",IF($AV3="OVER",IF($AL3&gt;$AN3,"WON","LOST"),IF($AL3&lt;$AN3,"WON","LOST")))</f>
        <v/>
      </c>
      <c r="AY3" s="7">
        <f>IF($AX3="","",IF($AX3="WON",IF($AV3="OVER",$AO3-1,$AP3-1),-1))</f>
        <v/>
      </c>
      <c r="AZ3" s="8" t="inlineStr">
        <is>
          <t>actual from BBC 2026-09-19 (provisional, ~97% exact vs football-data)</t>
        </is>
      </c>
    </row>
    <row r="4">
      <c r="A4" s="2" t="inlineStr">
        <is>
          <t>2026-09-19</t>
        </is>
      </c>
      <c r="B4" s="2" t="inlineStr">
        <is>
          <t>E0</t>
        </is>
      </c>
      <c r="C4" s="2" t="inlineStr">
        <is>
          <t>Premier League</t>
        </is>
      </c>
      <c r="D4" s="2" t="inlineStr">
        <is>
          <t>Brighton</t>
        </is>
      </c>
      <c r="E4" s="2" t="inlineStr">
        <is>
          <t>Arsenal</t>
        </is>
      </c>
      <c r="F4" s="3" t="n">
        <v>3.9</v>
      </c>
      <c r="G4" s="3" t="n">
        <v>4.120429271076156</v>
      </c>
      <c r="H4" s="4" t="n">
        <v>0.9079353844136502</v>
      </c>
      <c r="I4" s="4" t="n">
        <v>0.7668435360424193</v>
      </c>
      <c r="J4" s="4" t="n">
        <v>0.5809648816789187</v>
      </c>
      <c r="K4" s="4" t="n">
        <v>0.3936184759358361</v>
      </c>
      <c r="L4" s="4" t="n">
        <v>0.2395867624535333</v>
      </c>
      <c r="M4" s="4" t="n">
        <v>0.1320168007038691</v>
      </c>
      <c r="N4" s="3" t="n">
        <v>1.101399964322137</v>
      </c>
      <c r="O4" s="3" t="n">
        <v>1.304046983509662</v>
      </c>
      <c r="P4" s="3" t="n">
        <v>1.721274437639191</v>
      </c>
      <c r="Q4" s="3" t="n">
        <v>2.540531151700842</v>
      </c>
      <c r="R4" s="3" t="n">
        <v>4.173853303743964</v>
      </c>
      <c r="S4" s="3" t="n">
        <v>7.574793470742638</v>
      </c>
      <c r="T4" s="3" t="n">
        <v>10.8619364088049</v>
      </c>
      <c r="U4" s="3" t="n">
        <v>4.28896537126217</v>
      </c>
      <c r="V4" s="3" t="n">
        <v>2.386434826767336</v>
      </c>
      <c r="W4" s="3" t="n">
        <v>1.64912676312708</v>
      </c>
      <c r="X4" s="3" t="n">
        <v>1.315074423515533</v>
      </c>
      <c r="Y4" s="3" t="n">
        <v>1.152096032286022</v>
      </c>
      <c r="Z4" s="4" t="n">
        <v>0.01920533121090779</v>
      </c>
      <c r="AA4" s="4" t="n">
        <v>0.07285928437544206</v>
      </c>
      <c r="AB4" s="4" t="n">
        <v>0.1410918483712309</v>
      </c>
      <c r="AC4" s="4" t="n">
        <v>0.1858786543635006</v>
      </c>
      <c r="AD4" s="4" t="n">
        <v>0.1873464057430826</v>
      </c>
      <c r="AE4" s="4" t="n">
        <v>0.1540317134823028</v>
      </c>
      <c r="AF4" s="4" t="n">
        <v>0.1075699617496642</v>
      </c>
      <c r="AG4" s="4" t="n">
        <v>0.06560952125918854</v>
      </c>
      <c r="AH4" s="4" t="n">
        <v>0.03566504059676395</v>
      </c>
      <c r="AI4" s="5" t="inlineStr">
        <is>
          <t>d england</t>
        </is>
      </c>
      <c r="AJ4" s="3" t="n">
        <v>1.17948717948718</v>
      </c>
      <c r="AK4" s="5" t="n">
        <v>280</v>
      </c>
      <c r="AL4" s="8" t="n">
        <v>5</v>
      </c>
      <c r="AM4" s="8" t="n"/>
      <c r="AN4" s="8" t="n"/>
      <c r="AO4" s="8" t="n"/>
      <c r="AP4" s="8" t="n"/>
      <c r="AQ4" s="4">
        <f>IFERROR(IF($AN4="","",INDEX($H4:$M4,$AN4-0.5)),"line must be 1.5-6.5")</f>
        <v/>
      </c>
      <c r="AR4" s="3">
        <f>IF(ISNUMBER($AQ4),1/$AQ4,"")</f>
        <v/>
      </c>
      <c r="AS4" s="3">
        <f>IF(ISNUMBER($AQ4),1/(1-$AQ4),"")</f>
        <v/>
      </c>
      <c r="AT4" s="4">
        <f>IF($AO4="","",IF($AP4="",1/$AO4,(1/$AO4)/((1/$AO4)+(1/$AP4))))</f>
        <v/>
      </c>
      <c r="AU4" s="4">
        <f>IF(OR(NOT(ISNUMBER($AQ4)),$AT4=""),"",$AQ4-$AT4)</f>
        <v/>
      </c>
      <c r="AV4" s="5">
        <f>IF($AU4="","",IF($AU4&gt;=0.05,"OVER",IF($AU4&lt;=-0.05,"UNDER","skip")))</f>
        <v/>
      </c>
      <c r="AW4" s="4">
        <f>IF($AV4="OVER",$AQ4*$AO4-1,IF($AV4="UNDER",IF($AP4="","need under price",(1-$AQ4)*$AP4-1),""))</f>
        <v/>
      </c>
      <c r="AX4" s="5">
        <f>IF(OR($AV4="",$AV4="skip",$AL4="",$AN4=""),"",IF($AV4="OVER",IF($AL4&gt;$AN4,"WON","LOST"),IF($AL4&lt;$AN4,"WON","LOST")))</f>
        <v/>
      </c>
      <c r="AY4" s="7">
        <f>IF($AX4="","",IF($AX4="WON",IF($AV4="OVER",$AO4-1,$AP4-1),-1))</f>
        <v/>
      </c>
      <c r="AZ4" s="8" t="inlineStr">
        <is>
          <t>actual from BBC 2026-09-19 (provisional, ~97% exact vs football-data)</t>
        </is>
      </c>
    </row>
    <row r="5">
      <c r="A5" s="2" t="inlineStr">
        <is>
          <t>2026-09-19</t>
        </is>
      </c>
      <c r="B5" s="2" t="inlineStr">
        <is>
          <t>E0</t>
        </is>
      </c>
      <c r="C5" s="2" t="inlineStr">
        <is>
          <t>Premier League</t>
        </is>
      </c>
      <c r="D5" s="2" t="inlineStr">
        <is>
          <t>Everton</t>
        </is>
      </c>
      <c r="E5" s="2" t="inlineStr">
        <is>
          <t>Ipswich</t>
        </is>
      </c>
      <c r="F5" s="3" t="n">
        <v>3.9</v>
      </c>
      <c r="G5" s="3" t="n">
        <v>4.568320100826295</v>
      </c>
      <c r="H5" s="4" t="n">
        <v>0.9341435179707676</v>
      </c>
      <c r="I5" s="4" t="n">
        <v>0.8210727071678936</v>
      </c>
      <c r="J5" s="4" t="n">
        <v>0.6573289029885636</v>
      </c>
      <c r="K5" s="4" t="n">
        <v>0.4759162835046109</v>
      </c>
      <c r="L5" s="4" t="n">
        <v>0.3119634041904864</v>
      </c>
      <c r="M5" s="4" t="n">
        <v>0.1861037053219717</v>
      </c>
      <c r="N5" s="3" t="n">
        <v>1.070499319175593</v>
      </c>
      <c r="O5" s="3" t="n">
        <v>1.21791893856669</v>
      </c>
      <c r="P5" s="3" t="n">
        <v>1.521308427871455</v>
      </c>
      <c r="Q5" s="3" t="n">
        <v>2.101209886402871</v>
      </c>
      <c r="R5" s="3" t="n">
        <v>3.20550419237442</v>
      </c>
      <c r="S5" s="3" t="n">
        <v>5.373348146238861</v>
      </c>
      <c r="T5" s="3" t="n">
        <v>15.18453414435528</v>
      </c>
      <c r="U5" s="3" t="n">
        <v>5.58886229245269</v>
      </c>
      <c r="V5" s="3" t="n">
        <v>2.918250207622926</v>
      </c>
      <c r="W5" s="3" t="n">
        <v>1.908092101557973</v>
      </c>
      <c r="X5" s="3" t="n">
        <v>1.453411062856975</v>
      </c>
      <c r="Y5" s="3" t="n">
        <v>1.228657762099277</v>
      </c>
      <c r="Z5" s="4" t="n">
        <v>0.012737870795977</v>
      </c>
      <c r="AA5" s="4" t="n">
        <v>0.05311861123325542</v>
      </c>
      <c r="AB5" s="4" t="n">
        <v>0.113070810802874</v>
      </c>
      <c r="AC5" s="4" t="n">
        <v>0.16374380417933</v>
      </c>
      <c r="AD5" s="4" t="n">
        <v>0.1814126194839527</v>
      </c>
      <c r="AE5" s="4" t="n">
        <v>0.1639528793141245</v>
      </c>
      <c r="AF5" s="4" t="n">
        <v>0.1258596988685147</v>
      </c>
      <c r="AG5" s="4" t="n">
        <v>0.08438190302615185</v>
      </c>
      <c r="AH5" s="4" t="n">
        <v>0.05042105658503045</v>
      </c>
      <c r="AI5" s="5" t="inlineStr">
        <is>
          <t>s attwell</t>
        </is>
      </c>
      <c r="AJ5" s="3" t="n">
        <v>1.307692307692308</v>
      </c>
      <c r="AK5" s="5" t="n">
        <v>448</v>
      </c>
      <c r="AL5" s="8" t="n">
        <v>3</v>
      </c>
      <c r="AM5" s="8" t="n"/>
      <c r="AN5" s="8" t="n"/>
      <c r="AO5" s="8" t="n"/>
      <c r="AP5" s="8" t="n"/>
      <c r="AQ5" s="4">
        <f>IFERROR(IF($AN5="","",INDEX($H5:$M5,$AN5-0.5)),"line must be 1.5-6.5")</f>
        <v/>
      </c>
      <c r="AR5" s="3">
        <f>IF(ISNUMBER($AQ5),1/$AQ5,"")</f>
        <v/>
      </c>
      <c r="AS5" s="3">
        <f>IF(ISNUMBER($AQ5),1/(1-$AQ5),"")</f>
        <v/>
      </c>
      <c r="AT5" s="4">
        <f>IF($AO5="","",IF($AP5="",1/$AO5,(1/$AO5)/((1/$AO5)+(1/$AP5))))</f>
        <v/>
      </c>
      <c r="AU5" s="4">
        <f>IF(OR(NOT(ISNUMBER($AQ5)),$AT5=""),"",$AQ5-$AT5)</f>
        <v/>
      </c>
      <c r="AV5" s="5">
        <f>IF($AU5="","",IF($AU5&gt;=0.05,"OVER",IF($AU5&lt;=-0.05,"UNDER","skip")))</f>
        <v/>
      </c>
      <c r="AW5" s="4">
        <f>IF($AV5="OVER",$AQ5*$AO5-1,IF($AV5="UNDER",IF($AP5="","need under price",(1-$AQ5)*$AP5-1),""))</f>
        <v/>
      </c>
      <c r="AX5" s="5">
        <f>IF(OR($AV5="",$AV5="skip",$AL5="",$AN5=""),"",IF($AV5="OVER",IF($AL5&gt;$AN5,"WON","LOST"),IF($AL5&lt;$AN5,"WON","LOST")))</f>
        <v/>
      </c>
      <c r="AY5" s="7">
        <f>IF($AX5="","",IF($AX5="WON",IF($AV5="OVER",$AO5-1,$AP5-1),-1))</f>
        <v/>
      </c>
      <c r="AZ5" s="8" t="inlineStr">
        <is>
          <t>actual from BBC 2026-09-19 (provisional, ~97% exact vs football-data)</t>
        </is>
      </c>
    </row>
    <row r="6">
      <c r="A6" s="2" t="inlineStr">
        <is>
          <t>2026-09-19</t>
        </is>
      </c>
      <c r="B6" s="2" t="inlineStr">
        <is>
          <t>E0</t>
        </is>
      </c>
      <c r="C6" s="2" t="inlineStr">
        <is>
          <t>Premier League</t>
        </is>
      </c>
      <c r="D6" s="2" t="inlineStr">
        <is>
          <t>Newcastle</t>
        </is>
      </c>
      <c r="E6" s="2" t="inlineStr">
        <is>
          <t>Hull</t>
        </is>
      </c>
      <c r="F6" s="3" t="n">
        <v>3.9</v>
      </c>
      <c r="G6" s="3" t="n">
        <v>4.038607073093512</v>
      </c>
      <c r="H6" s="4" t="n">
        <v>0.9021646243160772</v>
      </c>
      <c r="I6" s="4" t="n">
        <v>0.7555450522174156</v>
      </c>
      <c r="J6" s="4" t="n">
        <v>0.5659211560623769</v>
      </c>
      <c r="K6" s="4" t="n">
        <v>0.3782997300411437</v>
      </c>
      <c r="L6" s="4" t="n">
        <v>0.2268666573079136</v>
      </c>
      <c r="M6" s="4" t="n">
        <v>0.1230480679914451</v>
      </c>
      <c r="N6" s="3" t="n">
        <v>1.108445147423167</v>
      </c>
      <c r="O6" s="3" t="n">
        <v>1.323547811034093</v>
      </c>
      <c r="P6" s="3" t="n">
        <v>1.767030600089066</v>
      </c>
      <c r="Q6" s="3" t="n">
        <v>2.643406591623104</v>
      </c>
      <c r="R6" s="3" t="n">
        <v>4.407875585889888</v>
      </c>
      <c r="S6" s="3" t="n">
        <v>8.126905333202997</v>
      </c>
      <c r="T6" s="3" t="n">
        <v>10.22125169969915</v>
      </c>
      <c r="U6" s="3" t="n">
        <v>4.090733319455613</v>
      </c>
      <c r="V6" s="3" t="n">
        <v>2.303728951470621</v>
      </c>
      <c r="W6" s="3" t="n">
        <v>1.608492143756314</v>
      </c>
      <c r="X6" s="3" t="n">
        <v>1.293437942435587</v>
      </c>
      <c r="Y6" s="3" t="n">
        <v>1.14031335527093</v>
      </c>
      <c r="Z6" s="4" t="n">
        <v>0.02070926968976593</v>
      </c>
      <c r="AA6" s="4" t="n">
        <v>0.07712610599415683</v>
      </c>
      <c r="AB6" s="4" t="n">
        <v>0.1466195720986617</v>
      </c>
      <c r="AC6" s="4" t="n">
        <v>0.1896238961550387</v>
      </c>
      <c r="AD6" s="4" t="n">
        <v>0.1876214260212332</v>
      </c>
      <c r="AE6" s="4" t="n">
        <v>0.1514330727332301</v>
      </c>
      <c r="AF6" s="4" t="n">
        <v>0.1038185893164685</v>
      </c>
      <c r="AG6" s="4" t="n">
        <v>0.06216193131309025</v>
      </c>
      <c r="AH6" s="4" t="n">
        <v>0.03317216937135608</v>
      </c>
      <c r="AI6" s="5" t="inlineStr">
        <is>
          <t>t harrington</t>
        </is>
      </c>
      <c r="AJ6" s="3" t="n">
        <v>0.717948717948718</v>
      </c>
      <c r="AK6" s="5" t="n">
        <v>317</v>
      </c>
      <c r="AL6" s="8" t="n">
        <v>5</v>
      </c>
      <c r="AM6" s="8" t="n"/>
      <c r="AN6" s="8" t="n"/>
      <c r="AO6" s="8" t="n"/>
      <c r="AP6" s="8" t="n"/>
      <c r="AQ6" s="4">
        <f>IFERROR(IF($AN6="","",INDEX($H6:$M6,$AN6-0.5)),"line must be 1.5-6.5")</f>
        <v/>
      </c>
      <c r="AR6" s="3">
        <f>IF(ISNUMBER($AQ6),1/$AQ6,"")</f>
        <v/>
      </c>
      <c r="AS6" s="3">
        <f>IF(ISNUMBER($AQ6),1/(1-$AQ6),"")</f>
        <v/>
      </c>
      <c r="AT6" s="4">
        <f>IF($AO6="","",IF($AP6="",1/$AO6,(1/$AO6)/((1/$AO6)+(1/$AP6))))</f>
        <v/>
      </c>
      <c r="AU6" s="4">
        <f>IF(OR(NOT(ISNUMBER($AQ6)),$AT6=""),"",$AQ6-$AT6)</f>
        <v/>
      </c>
      <c r="AV6" s="5">
        <f>IF($AU6="","",IF($AU6&gt;=0.05,"OVER",IF($AU6&lt;=-0.05,"UNDER","skip")))</f>
        <v/>
      </c>
      <c r="AW6" s="4">
        <f>IF($AV6="OVER",$AQ6*$AO6-1,IF($AV6="UNDER",IF($AP6="","need under price",(1-$AQ6)*$AP6-1),""))</f>
        <v/>
      </c>
      <c r="AX6" s="5">
        <f>IF(OR($AV6="",$AV6="skip",$AL6="",$AN6=""),"",IF($AV6="OVER",IF($AL6&gt;$AN6,"WON","LOST"),IF($AL6&lt;$AN6,"WON","LOST")))</f>
        <v/>
      </c>
      <c r="AY6" s="7">
        <f>IF($AX6="","",IF($AX6="WON",IF($AV6="OVER",$AO6-1,$AP6-1),-1))</f>
        <v/>
      </c>
      <c r="AZ6" s="8" t="inlineStr">
        <is>
          <t>actual from BBC 2026-09-19 (provisional, ~97% exact vs football-data); corrected 2026-09-28 from 6 to 5: football-data (the source the model was trained on) says 1+4, cards confirmed, fouls agree 14/14</t>
        </is>
      </c>
    </row>
    <row r="7">
      <c r="A7" s="2" t="inlineStr">
        <is>
          <t>2026-09-19</t>
        </is>
      </c>
      <c r="B7" s="2" t="inlineStr">
        <is>
          <t>E0</t>
        </is>
      </c>
      <c r="C7" s="2" t="inlineStr">
        <is>
          <t>Premier League</t>
        </is>
      </c>
      <c r="D7" s="2" t="inlineStr">
        <is>
          <t>Nott'm Forest</t>
        </is>
      </c>
      <c r="E7" s="2" t="inlineStr">
        <is>
          <t>Coventry</t>
        </is>
      </c>
      <c r="F7" s="3" t="n">
        <v>3.9</v>
      </c>
      <c r="G7" s="3" t="n">
        <v>3.768811192866803</v>
      </c>
      <c r="H7" s="4" t="n">
        <v>0.8805760305505431</v>
      </c>
      <c r="I7" s="4" t="n">
        <v>0.7149997849210545</v>
      </c>
      <c r="J7" s="4" t="n">
        <v>0.5141199945281267</v>
      </c>
      <c r="K7" s="4" t="n">
        <v>0.3276698557181383</v>
      </c>
      <c r="L7" s="4" t="n">
        <v>0.186501254694281</v>
      </c>
      <c r="M7" s="4" t="n">
        <v>0.09571301465736404</v>
      </c>
      <c r="N7" s="3" t="n">
        <v>1.135620281845274</v>
      </c>
      <c r="O7" s="3" t="n">
        <v>1.398601819314412</v>
      </c>
      <c r="P7" s="3" t="n">
        <v>1.945071210307288</v>
      </c>
      <c r="Q7" s="3" t="n">
        <v>3.051852291411878</v>
      </c>
      <c r="R7" s="3" t="n">
        <v>5.361894222316267</v>
      </c>
      <c r="S7" s="3" t="n">
        <v>10.44789993899812</v>
      </c>
      <c r="T7" s="3" t="n">
        <v>8.373528401459007</v>
      </c>
      <c r="U7" s="3" t="n">
        <v>3.508769281886326</v>
      </c>
      <c r="V7" s="3" t="n">
        <v>2.058121323656501</v>
      </c>
      <c r="W7" s="3" t="n">
        <v>1.487364516532474</v>
      </c>
      <c r="X7" s="3" t="n">
        <v>1.229258195873667</v>
      </c>
      <c r="Y7" s="3" t="n">
        <v>1.105843627309419</v>
      </c>
      <c r="Z7" s="4" t="n">
        <v>0.02657643182323592</v>
      </c>
      <c r="AA7" s="4" t="n">
        <v>0.09284753762622094</v>
      </c>
      <c r="AB7" s="4" t="n">
        <v>0.1655762456294886</v>
      </c>
      <c r="AC7" s="4" t="n">
        <v>0.2008797903929277</v>
      </c>
      <c r="AD7" s="4" t="n">
        <v>0.1864501388099885</v>
      </c>
      <c r="AE7" s="4" t="n">
        <v>0.1411686010238573</v>
      </c>
      <c r="AF7" s="4" t="n">
        <v>0.090788240036917</v>
      </c>
      <c r="AG7" s="4" t="n">
        <v>0.05099364668702781</v>
      </c>
      <c r="AH7" s="4" t="n">
        <v>0.02552716251552078</v>
      </c>
      <c r="AI7" s="5" t="inlineStr">
        <is>
          <t>j gillett</t>
        </is>
      </c>
      <c r="AJ7" s="3" t="n">
        <v>1</v>
      </c>
      <c r="AK7" s="5" t="n">
        <v>164</v>
      </c>
      <c r="AL7" s="8" t="n">
        <v>2</v>
      </c>
      <c r="AM7" s="8" t="n"/>
      <c r="AN7" s="8" t="n"/>
      <c r="AO7" s="8" t="n"/>
      <c r="AP7" s="8" t="n"/>
      <c r="AQ7" s="4">
        <f>IFERROR(IF($AN7="","",INDEX($H7:$M7,$AN7-0.5)),"line must be 1.5-6.5")</f>
        <v/>
      </c>
      <c r="AR7" s="3">
        <f>IF(ISNUMBER($AQ7),1/$AQ7,"")</f>
        <v/>
      </c>
      <c r="AS7" s="3">
        <f>IF(ISNUMBER($AQ7),1/(1-$AQ7),"")</f>
        <v/>
      </c>
      <c r="AT7" s="4">
        <f>IF($AO7="","",IF($AP7="",1/$AO7,(1/$AO7)/((1/$AO7)+(1/$AP7))))</f>
        <v/>
      </c>
      <c r="AU7" s="4">
        <f>IF(OR(NOT(ISNUMBER($AQ7)),$AT7=""),"",$AQ7-$AT7)</f>
        <v/>
      </c>
      <c r="AV7" s="5">
        <f>IF($AU7="","",IF($AU7&gt;=0.05,"OVER",IF($AU7&lt;=-0.05,"UNDER","skip")))</f>
        <v/>
      </c>
      <c r="AW7" s="4">
        <f>IF($AV7="OVER",$AQ7*$AO7-1,IF($AV7="UNDER",IF($AP7="","need under price",(1-$AQ7)*$AP7-1),""))</f>
        <v/>
      </c>
      <c r="AX7" s="5">
        <f>IF(OR($AV7="",$AV7="skip",$AL7="",$AN7=""),"",IF($AV7="OVER",IF($AL7&gt;$AN7,"WON","LOST"),IF($AL7&lt;$AN7,"WON","LOST")))</f>
        <v/>
      </c>
      <c r="AY7" s="7">
        <f>IF($AX7="","",IF($AX7="WON",IF($AV7="OVER",$AO7-1,$AP7-1),-1))</f>
        <v/>
      </c>
      <c r="AZ7" s="8" t="inlineStr">
        <is>
          <t>actual from BBC 2026-09-19 (provisional, ~97% exact vs football-data)</t>
        </is>
      </c>
    </row>
    <row r="8">
      <c r="A8" s="2" t="inlineStr">
        <is>
          <t>2026-09-20</t>
        </is>
      </c>
      <c r="B8" s="2" t="inlineStr">
        <is>
          <t>E0</t>
        </is>
      </c>
      <c r="C8" s="2" t="inlineStr">
        <is>
          <t>Premier League</t>
        </is>
      </c>
      <c r="D8" s="2" t="inlineStr">
        <is>
          <t>Bournemouth</t>
        </is>
      </c>
      <c r="E8" s="2" t="inlineStr">
        <is>
          <t>Liverpool</t>
        </is>
      </c>
      <c r="F8" s="3" t="n">
        <v>3.9</v>
      </c>
      <c r="G8" s="3" t="n">
        <v>3.86276584458607</v>
      </c>
      <c r="H8" s="4" t="n">
        <v>0.8885651501548326</v>
      </c>
      <c r="I8" s="4" t="n">
        <v>0.7297045199484438</v>
      </c>
      <c r="J8" s="4" t="n">
        <v>0.5325264443008776</v>
      </c>
      <c r="K8" s="4" t="n">
        <v>0.3452905042799023</v>
      </c>
      <c r="L8" s="4" t="n">
        <v>0.2002568657695872</v>
      </c>
      <c r="M8" s="4" t="n">
        <v>0.104831385178688</v>
      </c>
      <c r="N8" s="3" t="n">
        <v>1.125409881116483</v>
      </c>
      <c r="O8" s="3" t="n">
        <v>1.370417713831146</v>
      </c>
      <c r="P8" s="3" t="n">
        <v>1.877841017478185</v>
      </c>
      <c r="Q8" s="3" t="n">
        <v>2.896112078394637</v>
      </c>
      <c r="R8" s="3" t="n">
        <v>4.993586592684348</v>
      </c>
      <c r="S8" s="3" t="n">
        <v>9.539127984386287</v>
      </c>
      <c r="T8" s="3" t="n">
        <v>8.973853344707202</v>
      </c>
      <c r="U8" s="3" t="n">
        <v>3.699654910282849</v>
      </c>
      <c r="V8" s="3" t="n">
        <v>2.139158435399552</v>
      </c>
      <c r="W8" s="3" t="n">
        <v>1.527394984397051</v>
      </c>
      <c r="X8" s="3" t="n">
        <v>1.250401481673604</v>
      </c>
      <c r="Y8" s="3" t="n">
        <v>1.117107976578931</v>
      </c>
      <c r="Z8" s="4" t="n">
        <v>0.02436164821518433</v>
      </c>
      <c r="AA8" s="4" t="n">
        <v>0.08707320162998311</v>
      </c>
      <c r="AB8" s="4" t="n">
        <v>0.1588606302063888</v>
      </c>
      <c r="AC8" s="4" t="n">
        <v>0.1971780756475662</v>
      </c>
      <c r="AD8" s="4" t="n">
        <v>0.1872359400209753</v>
      </c>
      <c r="AE8" s="4" t="n">
        <v>0.1450336385103151</v>
      </c>
      <c r="AF8" s="4" t="n">
        <v>0.09542548059089924</v>
      </c>
      <c r="AG8" s="4" t="n">
        <v>0.05483463492011818</v>
      </c>
      <c r="AH8" s="4" t="n">
        <v>0.02808313296050295</v>
      </c>
      <c r="AI8" s="5" t="inlineStr">
        <is>
          <t>m oliver</t>
        </is>
      </c>
      <c r="AJ8" s="3" t="n">
        <v>0.9487179487179488</v>
      </c>
      <c r="AK8" s="5" t="n">
        <v>537</v>
      </c>
      <c r="AL8" s="8" t="n">
        <v>3</v>
      </c>
      <c r="AM8" s="8" t="n"/>
      <c r="AN8" s="8" t="n"/>
      <c r="AO8" s="8" t="n"/>
      <c r="AP8" s="8" t="n"/>
      <c r="AQ8" s="4">
        <f>IFERROR(IF($AN8="","",INDEX($H8:$M8,$AN8-0.5)),"line must be 1.5-6.5")</f>
        <v/>
      </c>
      <c r="AR8" s="3">
        <f>IF(ISNUMBER($AQ8),1/$AQ8,"")</f>
        <v/>
      </c>
      <c r="AS8" s="3">
        <f>IF(ISNUMBER($AQ8),1/(1-$AQ8),"")</f>
        <v/>
      </c>
      <c r="AT8" s="4">
        <f>IF($AO8="","",IF($AP8="",1/$AO8,(1/$AO8)/((1/$AO8)+(1/$AP8))))</f>
        <v/>
      </c>
      <c r="AU8" s="4">
        <f>IF(OR(NOT(ISNUMBER($AQ8)),$AT8=""),"",$AQ8-$AT8)</f>
        <v/>
      </c>
      <c r="AV8" s="5">
        <f>IF($AU8="","",IF($AU8&gt;=0.05,"OVER",IF($AU8&lt;=-0.05,"UNDER","skip")))</f>
        <v/>
      </c>
      <c r="AW8" s="4">
        <f>IF($AV8="OVER",$AQ8*$AO8-1,IF($AV8="UNDER",IF($AP8="","need under price",(1-$AQ8)*$AP8-1),""))</f>
        <v/>
      </c>
      <c r="AX8" s="5">
        <f>IF(OR($AV8="",$AV8="skip",$AL8="",$AN8=""),"",IF($AV8="OVER",IF($AL8&gt;$AN8,"WON","LOST"),IF($AL8&lt;$AN8,"WON","LOST")))</f>
        <v/>
      </c>
      <c r="AY8" s="7">
        <f>IF($AX8="","",IF($AX8="WON",IF($AV8="OVER",$AO8-1,$AP8-1),-1))</f>
        <v/>
      </c>
      <c r="AZ8" s="8" t="inlineStr">
        <is>
          <t>actual from BBC 2026-09-20 (provisional, ~97% exact vs football-data)</t>
        </is>
      </c>
    </row>
    <row r="9">
      <c r="A9" s="2" t="inlineStr">
        <is>
          <t>2026-09-20</t>
        </is>
      </c>
      <c r="B9" s="2" t="inlineStr">
        <is>
          <t>E0</t>
        </is>
      </c>
      <c r="C9" s="2" t="inlineStr">
        <is>
          <t>Premier League</t>
        </is>
      </c>
      <c r="D9" s="2" t="inlineStr">
        <is>
          <t>Leeds</t>
        </is>
      </c>
      <c r="E9" s="2" t="inlineStr">
        <is>
          <t>Crystal Palace</t>
        </is>
      </c>
      <c r="F9" s="3" t="n">
        <v>3.9</v>
      </c>
      <c r="G9" s="3" t="n">
        <v>3.377824074966072</v>
      </c>
      <c r="H9" s="4" t="n">
        <v>0.8411166824219762</v>
      </c>
      <c r="I9" s="4" t="n">
        <v>0.646817151778454</v>
      </c>
      <c r="J9" s="4" t="n">
        <v>0.4339321095298182</v>
      </c>
      <c r="K9" s="4" t="n">
        <v>0.2554861193392362</v>
      </c>
      <c r="L9" s="4" t="n">
        <v>0.133469953377696</v>
      </c>
      <c r="M9" s="4" t="n">
        <v>0.0626029544642176</v>
      </c>
      <c r="N9" s="3" t="n">
        <v>1.188895691761246</v>
      </c>
      <c r="O9" s="3" t="n">
        <v>1.546031977121283</v>
      </c>
      <c r="P9" s="3" t="n">
        <v>2.304507958822263</v>
      </c>
      <c r="Q9" s="3" t="n">
        <v>3.914106968262309</v>
      </c>
      <c r="R9" s="3" t="n">
        <v>7.492322988756727</v>
      </c>
      <c r="S9" s="3" t="n">
        <v>15.97368700181038</v>
      </c>
      <c r="T9" s="3" t="n">
        <v>6.293926985184735</v>
      </c>
      <c r="U9" s="3" t="n">
        <v>2.831394573761169</v>
      </c>
      <c r="V9" s="3" t="n">
        <v>1.766572555757207</v>
      </c>
      <c r="W9" s="3" t="n">
        <v>1.343158302317332</v>
      </c>
      <c r="X9" s="3" t="n">
        <v>1.154028073115244</v>
      </c>
      <c r="Y9" s="3" t="n">
        <v>1.066783818833604</v>
      </c>
      <c r="Z9" s="4" t="n">
        <v>0.03823842804437284</v>
      </c>
      <c r="AA9" s="4" t="n">
        <v>0.1206448895336509</v>
      </c>
      <c r="AB9" s="4" t="n">
        <v>0.1942995306435223</v>
      </c>
      <c r="AC9" s="4" t="n">
        <v>0.2128850422486358</v>
      </c>
      <c r="AD9" s="4" t="n">
        <v>0.178445990190582</v>
      </c>
      <c r="AE9" s="4" t="n">
        <v>0.1220161659615401</v>
      </c>
      <c r="AF9" s="4" t="n">
        <v>0.0708669989134784</v>
      </c>
      <c r="AG9" s="4" t="n">
        <v>0.03594725197528394</v>
      </c>
      <c r="AH9" s="4" t="n">
        <v>0.01625127163687223</v>
      </c>
      <c r="AI9" s="5" t="inlineStr">
        <is>
          <t>a herczeg</t>
        </is>
      </c>
      <c r="AJ9" s="3" t="n">
        <v>0.717948717948718</v>
      </c>
      <c r="AK9" s="5" t="n">
        <v>111</v>
      </c>
      <c r="AL9" s="8" t="n">
        <v>5</v>
      </c>
      <c r="AM9" s="8" t="n"/>
      <c r="AN9" s="8" t="n"/>
      <c r="AO9" s="8" t="n"/>
      <c r="AP9" s="8" t="n"/>
      <c r="AQ9" s="4">
        <f>IFERROR(IF($AN9="","",INDEX($H9:$M9,$AN9-0.5)),"line must be 1.5-6.5")</f>
        <v/>
      </c>
      <c r="AR9" s="3">
        <f>IF(ISNUMBER($AQ9),1/$AQ9,"")</f>
        <v/>
      </c>
      <c r="AS9" s="3">
        <f>IF(ISNUMBER($AQ9),1/(1-$AQ9),"")</f>
        <v/>
      </c>
      <c r="AT9" s="4">
        <f>IF($AO9="","",IF($AP9="",1/$AO9,(1/$AO9)/((1/$AO9)+(1/$AP9))))</f>
        <v/>
      </c>
      <c r="AU9" s="4">
        <f>IF(OR(NOT(ISNUMBER($AQ9)),$AT9=""),"",$AQ9-$AT9)</f>
        <v/>
      </c>
      <c r="AV9" s="5">
        <f>IF($AU9="","",IF($AU9&gt;=0.05,"OVER",IF($AU9&lt;=-0.05,"UNDER","skip")))</f>
        <v/>
      </c>
      <c r="AW9" s="4">
        <f>IF($AV9="OVER",$AQ9*$AO9-1,IF($AV9="UNDER",IF($AP9="","need under price",(1-$AQ9)*$AP9-1),""))</f>
        <v/>
      </c>
      <c r="AX9" s="5">
        <f>IF(OR($AV9="",$AV9="skip",$AL9="",$AN9=""),"",IF($AV9="OVER",IF($AL9&gt;$AN9,"WON","LOST"),IF($AL9&lt;$AN9,"WON","LOST")))</f>
        <v/>
      </c>
      <c r="AY9" s="7">
        <f>IF($AX9="","",IF($AX9="WON",IF($AV9="OVER",$AO9-1,$AP9-1),-1))</f>
        <v/>
      </c>
      <c r="AZ9" s="8" t="inlineStr">
        <is>
          <t>actual from BBC 2026-09-20 (provisional, ~97% exact vs football-data)</t>
        </is>
      </c>
    </row>
    <row r="10">
      <c r="A10" s="2" t="inlineStr">
        <is>
          <t>2026-09-20</t>
        </is>
      </c>
      <c r="B10" s="2" t="inlineStr">
        <is>
          <t>E0</t>
        </is>
      </c>
      <c r="C10" s="2" t="inlineStr">
        <is>
          <t>Premier League</t>
        </is>
      </c>
      <c r="D10" s="2" t="inlineStr">
        <is>
          <t>Man City</t>
        </is>
      </c>
      <c r="E10" s="2" t="inlineStr">
        <is>
          <t>Sunderland</t>
        </is>
      </c>
      <c r="F10" s="3" t="n">
        <v>3.9</v>
      </c>
      <c r="G10" s="3" t="n">
        <v>4.194891949461365</v>
      </c>
      <c r="H10" s="4" t="n">
        <v>0.9129010611468368</v>
      </c>
      <c r="I10" s="4" t="n">
        <v>0.7767372665821853</v>
      </c>
      <c r="J10" s="4" t="n">
        <v>0.594370512819189</v>
      </c>
      <c r="K10" s="4" t="n">
        <v>0.4075098271434598</v>
      </c>
      <c r="L10" s="4" t="n">
        <v>0.2513248910634983</v>
      </c>
      <c r="M10" s="4" t="n">
        <v>0.140438962737522</v>
      </c>
      <c r="N10" s="3" t="n">
        <v>1.095408957837933</v>
      </c>
      <c r="O10" s="3" t="n">
        <v>1.287436618562438</v>
      </c>
      <c r="P10" s="3" t="n">
        <v>1.68245223885157</v>
      </c>
      <c r="Q10" s="3" t="n">
        <v>2.453928551882406</v>
      </c>
      <c r="R10" s="3" t="n">
        <v>3.978913492286547</v>
      </c>
      <c r="S10" s="3" t="n">
        <v>7.120531087010254</v>
      </c>
      <c r="T10" s="3" t="n">
        <v>11.48119613358163</v>
      </c>
      <c r="U10" s="3" t="n">
        <v>4.479027846212904</v>
      </c>
      <c r="V10" s="3" t="n">
        <v>2.465304006743094</v>
      </c>
      <c r="W10" s="3" t="n">
        <v>1.687791706618112</v>
      </c>
      <c r="X10" s="3" t="n">
        <v>1.335692863384369</v>
      </c>
      <c r="Y10" s="3" t="n">
        <v>1.163384514478216</v>
      </c>
      <c r="Z10" s="4" t="n">
        <v>0.01793364935875087</v>
      </c>
      <c r="AA10" s="4" t="n">
        <v>0.06916528949441232</v>
      </c>
      <c r="AB10" s="4" t="n">
        <v>0.1361637945646514</v>
      </c>
      <c r="AC10" s="4" t="n">
        <v>0.1823667537629965</v>
      </c>
      <c r="AD10" s="4" t="n">
        <v>0.1868606856757291</v>
      </c>
      <c r="AE10" s="4" t="n">
        <v>0.1561849360799615</v>
      </c>
      <c r="AF10" s="4" t="n">
        <v>0.1108859283259764</v>
      </c>
      <c r="AG10" s="4" t="n">
        <v>0.06875570131104296</v>
      </c>
      <c r="AH10" s="4" t="n">
        <v>0.03799627262583686</v>
      </c>
      <c r="AI10" s="5" t="inlineStr">
        <is>
          <t>r jones</t>
        </is>
      </c>
      <c r="AJ10" s="3" t="n">
        <v>1.102564102564103</v>
      </c>
      <c r="AK10" s="5" t="n">
        <v>270</v>
      </c>
      <c r="AL10" s="8" t="n">
        <v>1</v>
      </c>
      <c r="AM10" s="8" t="n"/>
      <c r="AN10" s="8" t="n"/>
      <c r="AO10" s="8" t="n"/>
      <c r="AP10" s="8" t="n"/>
      <c r="AQ10" s="4">
        <f>IFERROR(IF($AN10="","",INDEX($H10:$M10,$AN10-0.5)),"line must be 1.5-6.5")</f>
        <v/>
      </c>
      <c r="AR10" s="3">
        <f>IF(ISNUMBER($AQ10),1/$AQ10,"")</f>
        <v/>
      </c>
      <c r="AS10" s="3">
        <f>IF(ISNUMBER($AQ10),1/(1-$AQ10),"")</f>
        <v/>
      </c>
      <c r="AT10" s="4">
        <f>IF($AO10="","",IF($AP10="",1/$AO10,(1/$AO10)/((1/$AO10)+(1/$AP10))))</f>
        <v/>
      </c>
      <c r="AU10" s="4">
        <f>IF(OR(NOT(ISNUMBER($AQ10)),$AT10=""),"",$AQ10-$AT10)</f>
        <v/>
      </c>
      <c r="AV10" s="5">
        <f>IF($AU10="","",IF($AU10&gt;=0.05,"OVER",IF($AU10&lt;=-0.05,"UNDER","skip")))</f>
        <v/>
      </c>
      <c r="AW10" s="4">
        <f>IF($AV10="OVER",$AQ10*$AO10-1,IF($AV10="UNDER",IF($AP10="","need under price",(1-$AQ10)*$AP10-1),""))</f>
        <v/>
      </c>
      <c r="AX10" s="5">
        <f>IF(OR($AV10="",$AV10="skip",$AL10="",$AN10=""),"",IF($AV10="OVER",IF($AL10&gt;$AN10,"WON","LOST"),IF($AL10&lt;$AN10,"WON","LOST")))</f>
        <v/>
      </c>
      <c r="AY10" s="7">
        <f>IF($AX10="","",IF($AX10="WON",IF($AV10="OVER",$AO10-1,$AP10-1),-1))</f>
        <v/>
      </c>
      <c r="AZ10" s="8" t="inlineStr">
        <is>
          <t>actual from BBC 2026-09-20 (provisional, ~97% exact vs football-data)</t>
        </is>
      </c>
    </row>
    <row r="11">
      <c r="A11" s="2" t="inlineStr">
        <is>
          <t>2026-09-20</t>
        </is>
      </c>
      <c r="B11" s="2" t="inlineStr">
        <is>
          <t>E0</t>
        </is>
      </c>
      <c r="C11" s="2" t="inlineStr">
        <is>
          <t>Premier League</t>
        </is>
      </c>
      <c r="D11" s="2" t="inlineStr">
        <is>
          <t>Fulham</t>
        </is>
      </c>
      <c r="E11" s="2" t="inlineStr">
        <is>
          <t>Man United</t>
        </is>
      </c>
      <c r="F11" s="3" t="n">
        <v>3.9</v>
      </c>
      <c r="G11" s="3" t="n">
        <v>3.569977519706937</v>
      </c>
      <c r="H11" s="4" t="n">
        <v>0.8618370450069949</v>
      </c>
      <c r="I11" s="4" t="n">
        <v>0.6817534176213236</v>
      </c>
      <c r="J11" s="4" t="n">
        <v>0.4739991814611392</v>
      </c>
      <c r="K11" s="4" t="n">
        <v>0.2906352995111893</v>
      </c>
      <c r="L11" s="4" t="n">
        <v>0.1586192791023155</v>
      </c>
      <c r="M11" s="4" t="n">
        <v>0.07788544729320823</v>
      </c>
      <c r="N11" s="3" t="n">
        <v>1.160312156217286</v>
      </c>
      <c r="O11" s="3" t="n">
        <v>1.466805994884568</v>
      </c>
      <c r="P11" s="3" t="n">
        <v>2.109708284553198</v>
      </c>
      <c r="Q11" s="3" t="n">
        <v>3.440738278116491</v>
      </c>
      <c r="R11" s="3" t="n">
        <v>6.304403888728819</v>
      </c>
      <c r="S11" s="3" t="n">
        <v>12.83936903174468</v>
      </c>
      <c r="T11" s="3" t="n">
        <v>7.237830140869726</v>
      </c>
      <c r="U11" s="3" t="n">
        <v>3.142217561381747</v>
      </c>
      <c r="V11" s="3" t="n">
        <v>1.901137725940858</v>
      </c>
      <c r="W11" s="3" t="n">
        <v>1.409712097755806</v>
      </c>
      <c r="X11" s="3" t="n">
        <v>1.188522597633425</v>
      </c>
      <c r="Y11" s="3" t="n">
        <v>1.08446396064847</v>
      </c>
      <c r="Z11" s="4" t="n">
        <v>0.03196671331030902</v>
      </c>
      <c r="AA11" s="4" t="n">
        <v>0.1061962416826961</v>
      </c>
      <c r="AB11" s="4" t="n">
        <v>0.1800836273856714</v>
      </c>
      <c r="AC11" s="4" t="n">
        <v>0.2077542361601844</v>
      </c>
      <c r="AD11" s="4" t="n">
        <v>0.1833638819499499</v>
      </c>
      <c r="AE11" s="4" t="n">
        <v>0.1320160204088737</v>
      </c>
      <c r="AF11" s="4" t="n">
        <v>0.08073383180910729</v>
      </c>
      <c r="AG11" s="4" t="n">
        <v>0.04312007238855529</v>
      </c>
      <c r="AH11" s="4" t="n">
        <v>0.02052595612517591</v>
      </c>
      <c r="AI11" s="5" t="inlineStr">
        <is>
          <t>p bankes</t>
        </is>
      </c>
      <c r="AJ11" s="3" t="n">
        <v>0.8717948717948718</v>
      </c>
      <c r="AK11" s="5" t="n">
        <v>311</v>
      </c>
      <c r="AL11" s="8" t="n">
        <v>3</v>
      </c>
      <c r="AM11" s="8" t="n"/>
      <c r="AN11" s="8" t="n"/>
      <c r="AO11" s="8" t="n"/>
      <c r="AP11" s="8" t="n"/>
      <c r="AQ11" s="4">
        <f>IFERROR(IF($AN11="","",INDEX($H11:$M11,$AN11-0.5)),"line must be 1.5-6.5")</f>
        <v/>
      </c>
      <c r="AR11" s="3">
        <f>IF(ISNUMBER($AQ11),1/$AQ11,"")</f>
        <v/>
      </c>
      <c r="AS11" s="3">
        <f>IF(ISNUMBER($AQ11),1/(1-$AQ11),"")</f>
        <v/>
      </c>
      <c r="AT11" s="4">
        <f>IF($AO11="","",IF($AP11="",1/$AO11,(1/$AO11)/((1/$AO11)+(1/$AP11))))</f>
        <v/>
      </c>
      <c r="AU11" s="4">
        <f>IF(OR(NOT(ISNUMBER($AQ11)),$AT11=""),"",$AQ11-$AT11)</f>
        <v/>
      </c>
      <c r="AV11" s="5">
        <f>IF($AU11="","",IF($AU11&gt;=0.05,"OVER",IF($AU11&lt;=-0.05,"UNDER","skip")))</f>
        <v/>
      </c>
      <c r="AW11" s="4">
        <f>IF($AV11="OVER",$AQ11*$AO11-1,IF($AV11="UNDER",IF($AP11="","need under price",(1-$AQ11)*$AP11-1),""))</f>
        <v/>
      </c>
      <c r="AX11" s="5">
        <f>IF(OR($AV11="",$AV11="skip",$AL11="",$AN11=""),"",IF($AV11="OVER",IF($AL11&gt;$AN11,"WON","LOST"),IF($AL11&lt;$AN11,"WON","LOST")))</f>
        <v/>
      </c>
      <c r="AY11" s="7">
        <f>IF($AX11="","",IF($AX11="WON",IF($AV11="OVER",$AO11-1,$AP11-1),-1))</f>
        <v/>
      </c>
      <c r="AZ11" s="8" t="inlineStr">
        <is>
          <t>actual from BBC 2026-09-20 (provisional, ~97% exact vs football-data)</t>
        </is>
      </c>
    </row>
    <row r="12">
      <c r="A12" s="2" t="inlineStr">
        <is>
          <t>2026-09-18</t>
        </is>
      </c>
      <c r="B12" s="2" t="inlineStr">
        <is>
          <t>E1</t>
        </is>
      </c>
      <c r="C12" s="2" t="inlineStr">
        <is>
          <t>Championship</t>
        </is>
      </c>
      <c r="D12" s="2" t="inlineStr">
        <is>
          <t>Bristol City</t>
        </is>
      </c>
      <c r="E12" s="2" t="inlineStr">
        <is>
          <t>Watford</t>
        </is>
      </c>
      <c r="F12" s="3" t="n">
        <v>3.698795180722891</v>
      </c>
      <c r="G12" s="3" t="n">
        <v>3.972211022042425</v>
      </c>
      <c r="H12" s="4" t="n">
        <v>0.8972278826295444</v>
      </c>
      <c r="I12" s="4" t="n">
        <v>0.7460412109821701</v>
      </c>
      <c r="J12" s="4" t="n">
        <v>0.5534788140233735</v>
      </c>
      <c r="K12" s="4" t="n">
        <v>0.3658421473502018</v>
      </c>
      <c r="L12" s="4" t="n">
        <v>0.2166957145891584</v>
      </c>
      <c r="M12" s="4" t="n">
        <v>0.1159969556164824</v>
      </c>
      <c r="N12" s="3" t="n">
        <v>1.114544052141198</v>
      </c>
      <c r="O12" s="3" t="n">
        <v>1.340408526069881</v>
      </c>
      <c r="P12" s="3" t="n">
        <v>1.806753889513411</v>
      </c>
      <c r="Q12" s="3" t="n">
        <v>2.73341933739185</v>
      </c>
      <c r="R12" s="3" t="n">
        <v>4.614765926017217</v>
      </c>
      <c r="S12" s="3" t="n">
        <v>8.620915908399123</v>
      </c>
      <c r="T12" s="3" t="n">
        <v>9.730265616649397</v>
      </c>
      <c r="U12" s="3" t="n">
        <v>3.93764674917312</v>
      </c>
      <c r="V12" s="3" t="n">
        <v>2.239535393629331</v>
      </c>
      <c r="W12" s="3" t="n">
        <v>1.576894452732152</v>
      </c>
      <c r="X12" s="3" t="n">
        <v>1.276643085739665</v>
      </c>
      <c r="Y12" s="3" t="n">
        <v>1.131217823686768</v>
      </c>
      <c r="Z12" s="4" t="n">
        <v>0.02201773417752803</v>
      </c>
      <c r="AA12" s="4" t="n">
        <v>0.08075438319292748</v>
      </c>
      <c r="AB12" s="4" t="n">
        <v>0.1511866716473743</v>
      </c>
      <c r="AC12" s="4" t="n">
        <v>0.1925623969587967</v>
      </c>
      <c r="AD12" s="4" t="n">
        <v>0.1876366666731716</v>
      </c>
      <c r="AE12" s="4" t="n">
        <v>0.1491464327610434</v>
      </c>
      <c r="AF12" s="4" t="n">
        <v>0.100698758972676</v>
      </c>
      <c r="AG12" s="4" t="n">
        <v>0.0593786545928984</v>
      </c>
      <c r="AH12" s="4" t="n">
        <v>0.03120589099996756</v>
      </c>
      <c r="AI12" s="5" t="inlineStr">
        <is>
          <t>o langford</t>
        </is>
      </c>
      <c r="AJ12" s="3" t="n">
        <v>0.6488599348534202</v>
      </c>
      <c r="AK12" s="5" t="n">
        <v>524</v>
      </c>
      <c r="AL12" s="8" t="n">
        <v>7</v>
      </c>
      <c r="AM12" s="8" t="n"/>
      <c r="AN12" s="8" t="n"/>
      <c r="AO12" s="8" t="n"/>
      <c r="AP12" s="8" t="n"/>
      <c r="AQ12" s="4">
        <f>IFERROR(IF($AN12="","",INDEX($H12:$M12,$AN12-0.5)),"line must be 1.5-6.5")</f>
        <v/>
      </c>
      <c r="AR12" s="3">
        <f>IF(ISNUMBER($AQ12),1/$AQ12,"")</f>
        <v/>
      </c>
      <c r="AS12" s="3">
        <f>IF(ISNUMBER($AQ12),1/(1-$AQ12),"")</f>
        <v/>
      </c>
      <c r="AT12" s="4">
        <f>IF($AO12="","",IF($AP12="",1/$AO12,(1/$AO12)/((1/$AO12)+(1/$AP12))))</f>
        <v/>
      </c>
      <c r="AU12" s="4">
        <f>IF(OR(NOT(ISNUMBER($AQ12)),$AT12=""),"",$AQ12-$AT12)</f>
        <v/>
      </c>
      <c r="AV12" s="5">
        <f>IF($AU12="","",IF($AU12&gt;=0.05,"OVER",IF($AU12&lt;=-0.05,"UNDER","skip")))</f>
        <v/>
      </c>
      <c r="AW12" s="4">
        <f>IF($AV12="OVER",$AQ12*$AO12-1,IF($AV12="UNDER",IF($AP12="","need under price",(1-$AQ12)*$AP12-1),""))</f>
        <v/>
      </c>
      <c r="AX12" s="5">
        <f>IF(OR($AV12="",$AV12="skip",$AL12="",$AN12=""),"",IF($AV12="OVER",IF($AL12&gt;$AN12,"WON","LOST"),IF($AL12&lt;$AN12,"WON","LOST")))</f>
        <v/>
      </c>
      <c r="AY12" s="7">
        <f>IF($AX12="","",IF($AX12="WON",IF($AV12="OVER",$AO12-1,$AP12-1),-1))</f>
        <v/>
      </c>
      <c r="AZ12" s="8" t="inlineStr">
        <is>
          <t>actual from BBC 2026-09-18 (provisional, ~97% exact vs football-data)</t>
        </is>
      </c>
    </row>
    <row r="13">
      <c r="A13" s="2" t="inlineStr">
        <is>
          <t>2026-09-19</t>
        </is>
      </c>
      <c r="B13" s="2" t="inlineStr">
        <is>
          <t>E1</t>
        </is>
      </c>
      <c r="C13" s="2" t="inlineStr">
        <is>
          <t>Championship</t>
        </is>
      </c>
      <c r="D13" s="2" t="inlineStr">
        <is>
          <t>Cardiff</t>
        </is>
      </c>
      <c r="E13" s="2" t="inlineStr">
        <is>
          <t>Charlton</t>
        </is>
      </c>
      <c r="F13" s="3" t="n">
        <v>3.698795180722891</v>
      </c>
      <c r="G13" s="3" t="n">
        <v>3.533639555664011</v>
      </c>
      <c r="H13" s="4" t="n">
        <v>0.8581247339225476</v>
      </c>
      <c r="I13" s="4" t="n">
        <v>0.6753598982682311</v>
      </c>
      <c r="J13" s="4" t="n">
        <v>0.4665110300859241</v>
      </c>
      <c r="K13" s="4" t="n">
        <v>0.2839282310283391</v>
      </c>
      <c r="L13" s="4" t="n">
        <v>0.1537205720563031</v>
      </c>
      <c r="M13" s="4" t="n">
        <v>0.07484740364420883</v>
      </c>
      <c r="N13" s="3" t="n">
        <v>1.165331752446909</v>
      </c>
      <c r="O13" s="3" t="n">
        <v>1.480692002240904</v>
      </c>
      <c r="P13" s="3" t="n">
        <v>2.143572039048713</v>
      </c>
      <c r="Q13" s="3" t="n">
        <v>3.522016801140811</v>
      </c>
      <c r="R13" s="3" t="n">
        <v>6.505310165211531</v>
      </c>
      <c r="S13" s="3" t="n">
        <v>13.36051688250342</v>
      </c>
      <c r="T13" s="3" t="n">
        <v>7.048444930873865</v>
      </c>
      <c r="U13" s="3" t="n">
        <v>3.080334175185299</v>
      </c>
      <c r="V13" s="3" t="n">
        <v>1.874452999770662</v>
      </c>
      <c r="W13" s="3" t="n">
        <v>1.396508064318865</v>
      </c>
      <c r="X13" s="3" t="n">
        <v>1.181642808486809</v>
      </c>
      <c r="Y13" s="3" t="n">
        <v>1.080902765596762</v>
      </c>
      <c r="Z13" s="4" t="n">
        <v>0.03306653900398713</v>
      </c>
      <c r="AA13" s="4" t="n">
        <v>0.1088087270734653</v>
      </c>
      <c r="AB13" s="4" t="n">
        <v>0.1827648356543165</v>
      </c>
      <c r="AC13" s="4" t="n">
        <v>0.208848868182307</v>
      </c>
      <c r="AD13" s="4" t="n">
        <v>0.182582799057585</v>
      </c>
      <c r="AE13" s="4" t="n">
        <v>0.130207658972036</v>
      </c>
      <c r="AF13" s="4" t="n">
        <v>0.0788731684120943</v>
      </c>
      <c r="AG13" s="4" t="n">
        <v>0.04172698740429006</v>
      </c>
      <c r="AH13" s="4" t="n">
        <v>0.01967454844642377</v>
      </c>
      <c r="AI13" s="5" t="inlineStr">
        <is>
          <t>e bell</t>
        </is>
      </c>
      <c r="AJ13" s="3" t="n">
        <v>0.9732899022801303</v>
      </c>
      <c r="AK13" s="5" t="n">
        <v>65</v>
      </c>
      <c r="AL13" s="8" t="n">
        <v>8</v>
      </c>
      <c r="AM13" s="8" t="n"/>
      <c r="AN13" s="8" t="n"/>
      <c r="AO13" s="8" t="n"/>
      <c r="AP13" s="8" t="n"/>
      <c r="AQ13" s="4">
        <f>IFERROR(IF($AN13="","",INDEX($H13:$M13,$AN13-0.5)),"line must be 1.5-6.5")</f>
        <v/>
      </c>
      <c r="AR13" s="3">
        <f>IF(ISNUMBER($AQ13),1/$AQ13,"")</f>
        <v/>
      </c>
      <c r="AS13" s="3">
        <f>IF(ISNUMBER($AQ13),1/(1-$AQ13),"")</f>
        <v/>
      </c>
      <c r="AT13" s="4">
        <f>IF($AO13="","",IF($AP13="",1/$AO13,(1/$AO13)/((1/$AO13)+(1/$AP13))))</f>
        <v/>
      </c>
      <c r="AU13" s="4">
        <f>IF(OR(NOT(ISNUMBER($AQ13)),$AT13=""),"",$AQ13-$AT13)</f>
        <v/>
      </c>
      <c r="AV13" s="5">
        <f>IF($AU13="","",IF($AU13&gt;=0.05,"OVER",IF($AU13&lt;=-0.05,"UNDER","skip")))</f>
        <v/>
      </c>
      <c r="AW13" s="4">
        <f>IF($AV13="OVER",$AQ13*$AO13-1,IF($AV13="UNDER",IF($AP13="","need under price",(1-$AQ13)*$AP13-1),""))</f>
        <v/>
      </c>
      <c r="AX13" s="5">
        <f>IF(OR($AV13="",$AV13="skip",$AL13="",$AN13=""),"",IF($AV13="OVER",IF($AL13&gt;$AN13,"WON","LOST"),IF($AL13&lt;$AN13,"WON","LOST")))</f>
        <v/>
      </c>
      <c r="AY13" s="7">
        <f>IF($AX13="","",IF($AX13="WON",IF($AV13="OVER",$AO13-1,$AP13-1),-1))</f>
        <v/>
      </c>
      <c r="AZ13" s="8" t="inlineStr">
        <is>
          <t>actual from BBC 2026-09-19 (provisional, ~97% exact vs football-data)</t>
        </is>
      </c>
    </row>
    <row r="14">
      <c r="A14" s="2" t="inlineStr">
        <is>
          <t>2026-09-19</t>
        </is>
      </c>
      <c r="B14" s="2" t="inlineStr">
        <is>
          <t>E1</t>
        </is>
      </c>
      <c r="C14" s="2" t="inlineStr">
        <is>
          <t>Championship</t>
        </is>
      </c>
      <c r="D14" s="2" t="inlineStr">
        <is>
          <t>Millwall</t>
        </is>
      </c>
      <c r="E14" s="2" t="inlineStr">
        <is>
          <t>West Ham</t>
        </is>
      </c>
      <c r="F14" s="3" t="n">
        <v>3.698795180722891</v>
      </c>
      <c r="G14" s="3" t="n">
        <v>3.387021965918068</v>
      </c>
      <c r="H14" s="4" t="n">
        <v>0.8421715573890877</v>
      </c>
      <c r="I14" s="4" t="n">
        <v>0.6485530208104877</v>
      </c>
      <c r="J14" s="4" t="n">
        <v>0.4358746446719618</v>
      </c>
      <c r="K14" s="4" t="n">
        <v>0.2571485412660252</v>
      </c>
      <c r="L14" s="4" t="n">
        <v>0.1346300687607452</v>
      </c>
      <c r="M14" s="4" t="n">
        <v>0.06329037401031246</v>
      </c>
      <c r="N14" s="3" t="n">
        <v>1.187406522134533</v>
      </c>
      <c r="O14" s="3" t="n">
        <v>1.541893982315145</v>
      </c>
      <c r="P14" s="3" t="n">
        <v>2.294237602998443</v>
      </c>
      <c r="Q14" s="3" t="n">
        <v>3.888802927197944</v>
      </c>
      <c r="R14" s="3" t="n">
        <v>7.427761191871091</v>
      </c>
      <c r="S14" s="3" t="n">
        <v>15.80019103437533</v>
      </c>
      <c r="T14" s="3" t="n">
        <v>6.33599358554945</v>
      </c>
      <c r="U14" s="3" t="n">
        <v>2.845379414858381</v>
      </c>
      <c r="V14" s="3" t="n">
        <v>1.772655652782175</v>
      </c>
      <c r="W14" s="3" t="n">
        <v>1.346164146603788</v>
      </c>
      <c r="X14" s="3" t="n">
        <v>1.155575163754474</v>
      </c>
      <c r="Y14" s="3" t="n">
        <v>1.067566695435037</v>
      </c>
      <c r="Z14" s="4" t="n">
        <v>0.03791134570949098</v>
      </c>
      <c r="AA14" s="4" t="n">
        <v>0.1199170969014214</v>
      </c>
      <c r="AB14" s="4" t="n">
        <v>0.1936185365785999</v>
      </c>
      <c r="AC14" s="4" t="n">
        <v>0.2126783761385259</v>
      </c>
      <c r="AD14" s="4" t="n">
        <v>0.1787261034059366</v>
      </c>
      <c r="AE14" s="4" t="n">
        <v>0.1225184725052799</v>
      </c>
      <c r="AF14" s="4" t="n">
        <v>0.07133969475043278</v>
      </c>
      <c r="AG14" s="4" t="n">
        <v>0.03627905006354661</v>
      </c>
      <c r="AH14" s="4" t="n">
        <v>0.01644298143166602</v>
      </c>
      <c r="AI14" s="5" t="inlineStr">
        <is>
          <t>p tierney</t>
        </is>
      </c>
      <c r="AJ14" s="3" t="n">
        <v>0.7029315960912053</v>
      </c>
      <c r="AK14" s="5" t="n">
        <v>412</v>
      </c>
      <c r="AL14" s="8" t="n">
        <v>5</v>
      </c>
      <c r="AM14" s="8" t="n"/>
      <c r="AN14" s="8" t="n"/>
      <c r="AO14" s="8" t="n"/>
      <c r="AP14" s="8" t="n"/>
      <c r="AQ14" s="4">
        <f>IFERROR(IF($AN14="","",INDEX($H14:$M14,$AN14-0.5)),"line must be 1.5-6.5")</f>
        <v/>
      </c>
      <c r="AR14" s="3">
        <f>IF(ISNUMBER($AQ14),1/$AQ14,"")</f>
        <v/>
      </c>
      <c r="AS14" s="3">
        <f>IF(ISNUMBER($AQ14),1/(1-$AQ14),"")</f>
        <v/>
      </c>
      <c r="AT14" s="4">
        <f>IF($AO14="","",IF($AP14="",1/$AO14,(1/$AO14)/((1/$AO14)+(1/$AP14))))</f>
        <v/>
      </c>
      <c r="AU14" s="4">
        <f>IF(OR(NOT(ISNUMBER($AQ14)),$AT14=""),"",$AQ14-$AT14)</f>
        <v/>
      </c>
      <c r="AV14" s="5">
        <f>IF($AU14="","",IF($AU14&gt;=0.05,"OVER",IF($AU14&lt;=-0.05,"UNDER","skip")))</f>
        <v/>
      </c>
      <c r="AW14" s="4">
        <f>IF($AV14="OVER",$AQ14*$AO14-1,IF($AV14="UNDER",IF($AP14="","need under price",(1-$AQ14)*$AP14-1),""))</f>
        <v/>
      </c>
      <c r="AX14" s="5">
        <f>IF(OR($AV14="",$AV14="skip",$AL14="",$AN14=""),"",IF($AV14="OVER",IF($AL14&gt;$AN14,"WON","LOST"),IF($AL14&lt;$AN14,"WON","LOST")))</f>
        <v/>
      </c>
      <c r="AY14" s="7">
        <f>IF($AX14="","",IF($AX14="WON",IF($AV14="OVER",$AO14-1,$AP14-1),-1))</f>
        <v/>
      </c>
      <c r="AZ14" s="8" t="inlineStr">
        <is>
          <t>actual from BBC 2026-09-19 (provisional, ~97% exact vs football-data)</t>
        </is>
      </c>
    </row>
    <row r="15">
      <c r="A15" s="2" t="inlineStr">
        <is>
          <t>2026-09-19</t>
        </is>
      </c>
      <c r="B15" s="2" t="inlineStr">
        <is>
          <t>E1</t>
        </is>
      </c>
      <c r="C15" s="2" t="inlineStr">
        <is>
          <t>Championship</t>
        </is>
      </c>
      <c r="D15" s="2" t="inlineStr">
        <is>
          <t>Stoke</t>
        </is>
      </c>
      <c r="E15" s="2" t="inlineStr">
        <is>
          <t>Sheffield United</t>
        </is>
      </c>
      <c r="F15" s="3" t="n">
        <v>3.698795180722891</v>
      </c>
      <c r="G15" s="3" t="n">
        <v>4.24161846439687</v>
      </c>
      <c r="H15" s="4" t="n">
        <v>0.9158840315625199</v>
      </c>
      <c r="I15" s="4" t="n">
        <v>0.7827604852333334</v>
      </c>
      <c r="J15" s="4" t="n">
        <v>0.6026413179499651</v>
      </c>
      <c r="K15" s="4" t="n">
        <v>0.4161952488587264</v>
      </c>
      <c r="L15" s="4" t="n">
        <v>0.2587623589194314</v>
      </c>
      <c r="M15" s="4" t="n">
        <v>0.1458467995056691</v>
      </c>
      <c r="N15" s="3" t="n">
        <v>1.091841287257707</v>
      </c>
      <c r="O15" s="3" t="n">
        <v>1.27752999655049</v>
      </c>
      <c r="P15" s="3" t="n">
        <v>1.65936182968959</v>
      </c>
      <c r="Q15" s="3" t="n">
        <v>2.402718442226717</v>
      </c>
      <c r="R15" s="3" t="n">
        <v>3.864549713396921</v>
      </c>
      <c r="S15" s="3" t="n">
        <v>6.85650973068579</v>
      </c>
      <c r="T15" s="3" t="n">
        <v>11.88834912770763</v>
      </c>
      <c r="U15" s="3" t="n">
        <v>4.603214111733235</v>
      </c>
      <c r="V15" s="3" t="n">
        <v>2.516617970547026</v>
      </c>
      <c r="W15" s="3" t="n">
        <v>1.712901441869239</v>
      </c>
      <c r="X15" s="3" t="n">
        <v>1.349095006214485</v>
      </c>
      <c r="Y15" s="3" t="n">
        <v>1.170750164515291</v>
      </c>
      <c r="Z15" s="4" t="n">
        <v>0.01717986893861625</v>
      </c>
      <c r="AA15" s="4" t="n">
        <v>0.06693609949886388</v>
      </c>
      <c r="AB15" s="4" t="n">
        <v>0.1331235463291865</v>
      </c>
      <c r="AC15" s="4" t="n">
        <v>0.1801191672833683</v>
      </c>
      <c r="AD15" s="4" t="n">
        <v>0.1864460690912388</v>
      </c>
      <c r="AE15" s="4" t="n">
        <v>0.1574328899392949</v>
      </c>
      <c r="AF15" s="4" t="n">
        <v>0.1129155594137623</v>
      </c>
      <c r="AG15" s="4" t="n">
        <v>0.07073056060635197</v>
      </c>
      <c r="AH15" s="4" t="n">
        <v>0.03948757005510168</v>
      </c>
      <c r="AI15" s="5" t="inlineStr">
        <is>
          <t>t robinson</t>
        </is>
      </c>
      <c r="AJ15" s="3" t="n">
        <v>1.027361563517915</v>
      </c>
      <c r="AK15" s="5" t="n">
        <v>402</v>
      </c>
      <c r="AL15" s="8" t="n">
        <v>8</v>
      </c>
      <c r="AM15" s="8" t="n"/>
      <c r="AN15" s="8" t="n"/>
      <c r="AO15" s="8" t="n"/>
      <c r="AP15" s="8" t="n"/>
      <c r="AQ15" s="4">
        <f>IFERROR(IF($AN15="","",INDEX($H15:$M15,$AN15-0.5)),"line must be 1.5-6.5")</f>
        <v/>
      </c>
      <c r="AR15" s="3">
        <f>IF(ISNUMBER($AQ15),1/$AQ15,"")</f>
        <v/>
      </c>
      <c r="AS15" s="3">
        <f>IF(ISNUMBER($AQ15),1/(1-$AQ15),"")</f>
        <v/>
      </c>
      <c r="AT15" s="4">
        <f>IF($AO15="","",IF($AP15="",1/$AO15,(1/$AO15)/((1/$AO15)+(1/$AP15))))</f>
        <v/>
      </c>
      <c r="AU15" s="4">
        <f>IF(OR(NOT(ISNUMBER($AQ15)),$AT15=""),"",$AQ15-$AT15)</f>
        <v/>
      </c>
      <c r="AV15" s="5">
        <f>IF($AU15="","",IF($AU15&gt;=0.05,"OVER",IF($AU15&lt;=-0.05,"UNDER","skip")))</f>
        <v/>
      </c>
      <c r="AW15" s="4">
        <f>IF($AV15="OVER",$AQ15*$AO15-1,IF($AV15="UNDER",IF($AP15="","need under price",(1-$AQ15)*$AP15-1),""))</f>
        <v/>
      </c>
      <c r="AX15" s="5">
        <f>IF(OR($AV15="",$AV15="skip",$AL15="",$AN15=""),"",IF($AV15="OVER",IF($AL15&gt;$AN15,"WON","LOST"),IF($AL15&lt;$AN15,"WON","LOST")))</f>
        <v/>
      </c>
      <c r="AY15" s="7">
        <f>IF($AX15="","",IF($AX15="WON",IF($AV15="OVER",$AO15-1,$AP15-1),-1))</f>
        <v/>
      </c>
      <c r="AZ15" s="8" t="inlineStr">
        <is>
          <t>actual from BBC 2026-09-19 (provisional, ~97% exact vs football-data)</t>
        </is>
      </c>
    </row>
    <row r="16">
      <c r="A16" s="2" t="inlineStr">
        <is>
          <t>2026-09-19</t>
        </is>
      </c>
      <c r="B16" s="2" t="inlineStr">
        <is>
          <t>E1</t>
        </is>
      </c>
      <c r="C16" s="2" t="inlineStr">
        <is>
          <t>Championship</t>
        </is>
      </c>
      <c r="D16" s="2" t="inlineStr">
        <is>
          <t>Birmingham</t>
        </is>
      </c>
      <c r="E16" s="2" t="inlineStr">
        <is>
          <t>Middlesbrough</t>
        </is>
      </c>
      <c r="F16" s="3" t="n">
        <v>3.698795180722891</v>
      </c>
      <c r="G16" s="3" t="n">
        <v>3.25647312734436</v>
      </c>
      <c r="H16" s="4" t="n">
        <v>0.826568972268921</v>
      </c>
      <c r="I16" s="4" t="n">
        <v>0.6233155241180698</v>
      </c>
      <c r="J16" s="4" t="n">
        <v>0.4081107365396949</v>
      </c>
      <c r="K16" s="4" t="n">
        <v>0.2337879400738939</v>
      </c>
      <c r="L16" s="4" t="n">
        <v>0.1186004340992289</v>
      </c>
      <c r="M16" s="4" t="n">
        <v>0.05394982030293771</v>
      </c>
      <c r="N16" s="3" t="n">
        <v>1.209820394364687</v>
      </c>
      <c r="O16" s="3" t="n">
        <v>1.604323911898234</v>
      </c>
      <c r="P16" s="3" t="n">
        <v>2.450315344503893</v>
      </c>
      <c r="Q16" s="3" t="n">
        <v>4.277380602626156</v>
      </c>
      <c r="R16" s="3" t="n">
        <v>8.431672342475022</v>
      </c>
      <c r="S16" s="3" t="n">
        <v>18.53574292527435</v>
      </c>
      <c r="T16" s="3" t="n">
        <v>5.7659809382586</v>
      </c>
      <c r="U16" s="3" t="n">
        <v>2.654741737521046</v>
      </c>
      <c r="V16" s="3" t="n">
        <v>1.68950521953008</v>
      </c>
      <c r="W16" s="3" t="n">
        <v>1.305121717995982</v>
      </c>
      <c r="X16" s="3" t="n">
        <v>1.134559215465487</v>
      </c>
      <c r="Y16" s="3" t="n">
        <v>1.057026383442169</v>
      </c>
      <c r="Z16" s="4" t="n">
        <v>0.04283363985297426</v>
      </c>
      <c r="AA16" s="4" t="n">
        <v>0.1305973878781047</v>
      </c>
      <c r="AB16" s="4" t="n">
        <v>0.2032534481508513</v>
      </c>
      <c r="AC16" s="4" t="n">
        <v>0.2152047875783749</v>
      </c>
      <c r="AD16" s="4" t="n">
        <v>0.1743227964658009</v>
      </c>
      <c r="AE16" s="4" t="n">
        <v>0.115187505974665</v>
      </c>
      <c r="AF16" s="4" t="n">
        <v>0.06465061379629125</v>
      </c>
      <c r="AG16" s="4" t="n">
        <v>0.0316909250886992</v>
      </c>
      <c r="AH16" s="4" t="n">
        <v>0.01384513454622767</v>
      </c>
      <c r="AI16" s="5" t="inlineStr">
        <is>
          <t>d webb</t>
        </is>
      </c>
      <c r="AJ16" s="3" t="n">
        <v>0.8651465798045603</v>
      </c>
      <c r="AK16" s="5" t="n">
        <v>507</v>
      </c>
      <c r="AL16" s="8" t="n">
        <v>2</v>
      </c>
      <c r="AM16" s="8" t="n"/>
      <c r="AN16" s="8" t="n"/>
      <c r="AO16" s="8" t="n"/>
      <c r="AP16" s="8" t="n"/>
      <c r="AQ16" s="4">
        <f>IFERROR(IF($AN16="","",INDEX($H16:$M16,$AN16-0.5)),"line must be 1.5-6.5")</f>
        <v/>
      </c>
      <c r="AR16" s="3">
        <f>IF(ISNUMBER($AQ16),1/$AQ16,"")</f>
        <v/>
      </c>
      <c r="AS16" s="3">
        <f>IF(ISNUMBER($AQ16),1/(1-$AQ16),"")</f>
        <v/>
      </c>
      <c r="AT16" s="4">
        <f>IF($AO16="","",IF($AP16="",1/$AO16,(1/$AO16)/((1/$AO16)+(1/$AP16))))</f>
        <v/>
      </c>
      <c r="AU16" s="4">
        <f>IF(OR(NOT(ISNUMBER($AQ16)),$AT16=""),"",$AQ16-$AT16)</f>
        <v/>
      </c>
      <c r="AV16" s="5">
        <f>IF($AU16="","",IF($AU16&gt;=0.05,"OVER",IF($AU16&lt;=-0.05,"UNDER","skip")))</f>
        <v/>
      </c>
      <c r="AW16" s="4">
        <f>IF($AV16="OVER",$AQ16*$AO16-1,IF($AV16="UNDER",IF($AP16="","need under price",(1-$AQ16)*$AP16-1),""))</f>
        <v/>
      </c>
      <c r="AX16" s="5">
        <f>IF(OR($AV16="",$AV16="skip",$AL16="",$AN16=""),"",IF($AV16="OVER",IF($AL16&gt;$AN16,"WON","LOST"),IF($AL16&lt;$AN16,"WON","LOST")))</f>
        <v/>
      </c>
      <c r="AY16" s="7">
        <f>IF($AX16="","",IF($AX16="WON",IF($AV16="OVER",$AO16-1,$AP16-1),-1))</f>
        <v/>
      </c>
      <c r="AZ16" s="8" t="inlineStr">
        <is>
          <t>actual from BBC 2026-09-19 (provisional, ~97% exact vs football-data)</t>
        </is>
      </c>
    </row>
    <row r="17">
      <c r="A17" s="2" t="inlineStr">
        <is>
          <t>2026-09-19</t>
        </is>
      </c>
      <c r="B17" s="2" t="inlineStr">
        <is>
          <t>E1</t>
        </is>
      </c>
      <c r="C17" s="2" t="inlineStr">
        <is>
          <t>Championship</t>
        </is>
      </c>
      <c r="D17" s="2" t="inlineStr">
        <is>
          <t>Burnley</t>
        </is>
      </c>
      <c r="E17" s="2" t="inlineStr">
        <is>
          <t>Derby</t>
        </is>
      </c>
      <c r="F17" s="3" t="n">
        <v>3.698795180722891</v>
      </c>
      <c r="G17" s="3" t="n">
        <v>4.567249559806291</v>
      </c>
      <c r="H17" s="4" t="n">
        <v>0.9340905031272861</v>
      </c>
      <c r="I17" s="4" t="n">
        <v>0.8209575591008438</v>
      </c>
      <c r="J17" s="4" t="n">
        <v>0.6571588236537871</v>
      </c>
      <c r="K17" s="4" t="n">
        <v>0.4757241661231945</v>
      </c>
      <c r="L17" s="4" t="n">
        <v>0.3117864466433988</v>
      </c>
      <c r="M17" s="4" t="n">
        <v>0.1859653066084848</v>
      </c>
      <c r="N17" s="3" t="n">
        <v>1.070560075979846</v>
      </c>
      <c r="O17" s="3" t="n">
        <v>1.218089764707512</v>
      </c>
      <c r="P17" s="3" t="n">
        <v>1.521702157843707</v>
      </c>
      <c r="Q17" s="3" t="n">
        <v>2.102058443129496</v>
      </c>
      <c r="R17" s="3" t="n">
        <v>3.207323508656986</v>
      </c>
      <c r="S17" s="3" t="n">
        <v>5.377347088214219</v>
      </c>
      <c r="T17" s="3" t="n">
        <v>15.17232033998418</v>
      </c>
      <c r="U17" s="3" t="n">
        <v>5.585267911775396</v>
      </c>
      <c r="V17" s="3" t="n">
        <v>2.916802499213704</v>
      </c>
      <c r="W17" s="3" t="n">
        <v>1.907392893937927</v>
      </c>
      <c r="X17" s="3" t="n">
        <v>1.453037353191801</v>
      </c>
      <c r="Y17" s="3" t="n">
        <v>1.228448870936565</v>
      </c>
      <c r="Z17" s="4" t="n">
        <v>0.01275032483308198</v>
      </c>
      <c r="AA17" s="4" t="n">
        <v>0.05315917203963187</v>
      </c>
      <c r="AB17" s="4" t="n">
        <v>0.1131329440264424</v>
      </c>
      <c r="AC17" s="4" t="n">
        <v>0.1637987354470566</v>
      </c>
      <c r="AD17" s="4" t="n">
        <v>0.1814346575305927</v>
      </c>
      <c r="AE17" s="4" t="n">
        <v>0.1639377194797956</v>
      </c>
      <c r="AF17" s="4" t="n">
        <v>0.125821140034914</v>
      </c>
      <c r="AG17" s="4" t="n">
        <v>0.08433800613313543</v>
      </c>
      <c r="AH17" s="4" t="n">
        <v>0.05038404629662462</v>
      </c>
      <c r="AI17" s="5" t="inlineStr">
        <is>
          <t>s martin</t>
        </is>
      </c>
      <c r="AJ17" s="3" t="n">
        <v>1.270684039087948</v>
      </c>
      <c r="AK17" s="5" t="n">
        <v>409</v>
      </c>
      <c r="AL17" s="8" t="n">
        <v>6</v>
      </c>
      <c r="AM17" s="8" t="n"/>
      <c r="AN17" s="8" t="n"/>
      <c r="AO17" s="8" t="n"/>
      <c r="AP17" s="8" t="n"/>
      <c r="AQ17" s="4">
        <f>IFERROR(IF($AN17="","",INDEX($H17:$M17,$AN17-0.5)),"line must be 1.5-6.5")</f>
        <v/>
      </c>
      <c r="AR17" s="3">
        <f>IF(ISNUMBER($AQ17),1/$AQ17,"")</f>
        <v/>
      </c>
      <c r="AS17" s="3">
        <f>IF(ISNUMBER($AQ17),1/(1-$AQ17),"")</f>
        <v/>
      </c>
      <c r="AT17" s="4">
        <f>IF($AO17="","",IF($AP17="",1/$AO17,(1/$AO17)/((1/$AO17)+(1/$AP17))))</f>
        <v/>
      </c>
      <c r="AU17" s="4">
        <f>IF(OR(NOT(ISNUMBER($AQ17)),$AT17=""),"",$AQ17-$AT17)</f>
        <v/>
      </c>
      <c r="AV17" s="5">
        <f>IF($AU17="","",IF($AU17&gt;=0.05,"OVER",IF($AU17&lt;=-0.05,"UNDER","skip")))</f>
        <v/>
      </c>
      <c r="AW17" s="4">
        <f>IF($AV17="OVER",$AQ17*$AO17-1,IF($AV17="UNDER",IF($AP17="","need under price",(1-$AQ17)*$AP17-1),""))</f>
        <v/>
      </c>
      <c r="AX17" s="5">
        <f>IF(OR($AV17="",$AV17="skip",$AL17="",$AN17=""),"",IF($AV17="OVER",IF($AL17&gt;$AN17,"WON","LOST"),IF($AL17&lt;$AN17,"WON","LOST")))</f>
        <v/>
      </c>
      <c r="AY17" s="7">
        <f>IF($AX17="","",IF($AX17="WON",IF($AV17="OVER",$AO17-1,$AP17-1),-1))</f>
        <v/>
      </c>
      <c r="AZ17" s="8" t="inlineStr">
        <is>
          <t>actual from BBC 2026-09-19 (provisional, ~97% exact vs football-data)</t>
        </is>
      </c>
    </row>
    <row r="18">
      <c r="A18" s="2" t="inlineStr">
        <is>
          <t>2026-09-19</t>
        </is>
      </c>
      <c r="B18" s="2" t="inlineStr">
        <is>
          <t>E1</t>
        </is>
      </c>
      <c r="C18" s="2" t="inlineStr">
        <is>
          <t>Championship</t>
        </is>
      </c>
      <c r="D18" s="2" t="inlineStr">
        <is>
          <t>Lincoln</t>
        </is>
      </c>
      <c r="E18" s="2" t="inlineStr">
        <is>
          <t>Swansea</t>
        </is>
      </c>
      <c r="F18" s="3" t="n">
        <v>3.698795180722891</v>
      </c>
      <c r="G18" s="3" t="n">
        <v>4.145826537724348</v>
      </c>
      <c r="H18" s="4" t="n">
        <v>0.9096589550693051</v>
      </c>
      <c r="I18" s="4" t="n">
        <v>0.7702591940695472</v>
      </c>
      <c r="J18" s="4" t="n">
        <v>0.58556804685212</v>
      </c>
      <c r="K18" s="4" t="n">
        <v>0.3983626444201105</v>
      </c>
      <c r="L18" s="4" t="n">
        <v>0.2435738165378052</v>
      </c>
      <c r="M18" s="4" t="n">
        <v>0.1348619550944165</v>
      </c>
      <c r="N18" s="3" t="n">
        <v>1.099313093580013</v>
      </c>
      <c r="O18" s="3" t="n">
        <v>1.298264282593827</v>
      </c>
      <c r="P18" s="3" t="n">
        <v>1.707743455907083</v>
      </c>
      <c r="Q18" s="3" t="n">
        <v>2.510275534132179</v>
      </c>
      <c r="R18" s="3" t="n">
        <v>4.105531597008866</v>
      </c>
      <c r="S18" s="3" t="n">
        <v>7.41498964107337</v>
      </c>
      <c r="T18" s="3" t="n">
        <v>11.06916574594803</v>
      </c>
      <c r="U18" s="3" t="n">
        <v>4.352731313664497</v>
      </c>
      <c r="V18" s="3" t="n">
        <v>2.412941358416865</v>
      </c>
      <c r="W18" s="3" t="n">
        <v>1.662130834672238</v>
      </c>
      <c r="X18" s="3" t="n">
        <v>1.322006062009855</v>
      </c>
      <c r="Y18" s="3" t="n">
        <v>1.15588489708499</v>
      </c>
      <c r="Z18" s="4" t="n">
        <v>0.01876156237895391</v>
      </c>
      <c r="AA18" s="4" t="n">
        <v>0.07157948255174108</v>
      </c>
      <c r="AB18" s="4" t="n">
        <v>0.1393997609997577</v>
      </c>
      <c r="AC18" s="4" t="n">
        <v>0.1846911472174272</v>
      </c>
      <c r="AD18" s="4" t="n">
        <v>0.1872054024320096</v>
      </c>
      <c r="AE18" s="4" t="n">
        <v>0.1547888278823053</v>
      </c>
      <c r="AF18" s="4" t="n">
        <v>0.1087118614433887</v>
      </c>
      <c r="AG18" s="4" t="n">
        <v>0.06668209557256435</v>
      </c>
      <c r="AH18" s="4" t="n">
        <v>0.03645369423358522</v>
      </c>
      <c r="AI18" s="5" t="inlineStr">
        <is>
          <t>a backhouse</t>
        </is>
      </c>
      <c r="AJ18" s="3" t="n">
        <v>1.270684039087948</v>
      </c>
      <c r="AK18" s="5" t="n">
        <v>238</v>
      </c>
      <c r="AL18" s="8" t="n">
        <v>3</v>
      </c>
      <c r="AM18" s="8" t="n"/>
      <c r="AN18" s="8" t="n"/>
      <c r="AO18" s="8" t="n"/>
      <c r="AP18" s="8" t="n"/>
      <c r="AQ18" s="4">
        <f>IFERROR(IF($AN18="","",INDEX($H18:$M18,$AN18-0.5)),"line must be 1.5-6.5")</f>
        <v/>
      </c>
      <c r="AR18" s="3">
        <f>IF(ISNUMBER($AQ18),1/$AQ18,"")</f>
        <v/>
      </c>
      <c r="AS18" s="3">
        <f>IF(ISNUMBER($AQ18),1/(1-$AQ18),"")</f>
        <v/>
      </c>
      <c r="AT18" s="4">
        <f>IF($AO18="","",IF($AP18="",1/$AO18,(1/$AO18)/((1/$AO18)+(1/$AP18))))</f>
        <v/>
      </c>
      <c r="AU18" s="4">
        <f>IF(OR(NOT(ISNUMBER($AQ18)),$AT18=""),"",$AQ18-$AT18)</f>
        <v/>
      </c>
      <c r="AV18" s="5">
        <f>IF($AU18="","",IF($AU18&gt;=0.05,"OVER",IF($AU18&lt;=-0.05,"UNDER","skip")))</f>
        <v/>
      </c>
      <c r="AW18" s="4">
        <f>IF($AV18="OVER",$AQ18*$AO18-1,IF($AV18="UNDER",IF($AP18="","need under price",(1-$AQ18)*$AP18-1),""))</f>
        <v/>
      </c>
      <c r="AX18" s="5">
        <f>IF(OR($AV18="",$AV18="skip",$AL18="",$AN18=""),"",IF($AV18="OVER",IF($AL18&gt;$AN18,"WON","LOST"),IF($AL18&lt;$AN18,"WON","LOST")))</f>
        <v/>
      </c>
      <c r="AY18" s="7">
        <f>IF($AX18="","",IF($AX18="WON",IF($AV18="OVER",$AO18-1,$AP18-1),-1))</f>
        <v/>
      </c>
      <c r="AZ18" s="8" t="inlineStr">
        <is>
          <t>actual from BBC 2026-09-19 (provisional, ~97% exact vs football-data)</t>
        </is>
      </c>
    </row>
    <row r="19">
      <c r="A19" s="2" t="inlineStr">
        <is>
          <t>2026-09-19</t>
        </is>
      </c>
      <c r="B19" s="2" t="inlineStr">
        <is>
          <t>E1</t>
        </is>
      </c>
      <c r="C19" s="2" t="inlineStr">
        <is>
          <t>Championship</t>
        </is>
      </c>
      <c r="D19" s="2" t="inlineStr">
        <is>
          <t>Portsmouth</t>
        </is>
      </c>
      <c r="E19" s="2" t="inlineStr">
        <is>
          <t>Blackburn</t>
        </is>
      </c>
      <c r="F19" s="3" t="n">
        <v>3.698795180722891</v>
      </c>
      <c r="G19" s="3" t="n">
        <v>4.128576349830096</v>
      </c>
      <c r="H19" s="4" t="n">
        <v>0.908491703832492</v>
      </c>
      <c r="I19" s="4" t="n">
        <v>0.7679439035990528</v>
      </c>
      <c r="J19" s="4" t="n">
        <v>0.5824449684627312</v>
      </c>
      <c r="K19" s="4" t="n">
        <v>0.3951409745840851</v>
      </c>
      <c r="L19" s="4" t="n">
        <v>0.2408638306511288</v>
      </c>
      <c r="M19" s="4" t="n">
        <v>0.1329263618797855</v>
      </c>
      <c r="N19" s="3" t="n">
        <v>1.100725516569362</v>
      </c>
      <c r="O19" s="3" t="n">
        <v>1.302178447297245</v>
      </c>
      <c r="P19" s="3" t="n">
        <v>1.716900401147489</v>
      </c>
      <c r="Q19" s="3" t="n">
        <v>2.530742353542488</v>
      </c>
      <c r="R19" s="3" t="n">
        <v>4.151723391995773</v>
      </c>
      <c r="S19" s="3" t="n">
        <v>7.522962231557721</v>
      </c>
      <c r="T19" s="3" t="n">
        <v>10.92797092593088</v>
      </c>
      <c r="U19" s="3" t="n">
        <v>4.30930286042646</v>
      </c>
      <c r="V19" s="3" t="n">
        <v>2.394893904926506</v>
      </c>
      <c r="W19" s="3" t="n">
        <v>1.653277801901653</v>
      </c>
      <c r="X19" s="3" t="n">
        <v>1.317286727172706</v>
      </c>
      <c r="Y19" s="3" t="n">
        <v>1.153304582258971</v>
      </c>
      <c r="Z19" s="4" t="n">
        <v>0.01906182106022895</v>
      </c>
      <c r="AA19" s="4" t="n">
        <v>0.0724464751072791</v>
      </c>
      <c r="AB19" s="4" t="n">
        <v>0.1405478002334391</v>
      </c>
      <c r="AC19" s="4" t="n">
        <v>0.1854989351363217</v>
      </c>
      <c r="AD19" s="4" t="n">
        <v>0.1873039938786461</v>
      </c>
      <c r="AE19" s="4" t="n">
        <v>0.1542771439329563</v>
      </c>
      <c r="AF19" s="4" t="n">
        <v>0.1079374687713434</v>
      </c>
      <c r="AG19" s="4" t="n">
        <v>0.06595350116958017</v>
      </c>
      <c r="AH19" s="4" t="n">
        <v>0.03591728331915622</v>
      </c>
      <c r="AI19" s="5" t="inlineStr">
        <is>
          <t>j busby</t>
        </is>
      </c>
      <c r="AJ19" s="3" t="n">
        <v>1.162540716612378</v>
      </c>
      <c r="AK19" s="5" t="n">
        <v>300</v>
      </c>
      <c r="AL19" s="8" t="n">
        <v>3</v>
      </c>
      <c r="AM19" s="8" t="n"/>
      <c r="AN19" s="8" t="n"/>
      <c r="AO19" s="8" t="n"/>
      <c r="AP19" s="8" t="n"/>
      <c r="AQ19" s="4">
        <f>IFERROR(IF($AN19="","",INDEX($H19:$M19,$AN19-0.5)),"line must be 1.5-6.5")</f>
        <v/>
      </c>
      <c r="AR19" s="3">
        <f>IF(ISNUMBER($AQ19),1/$AQ19,"")</f>
        <v/>
      </c>
      <c r="AS19" s="3">
        <f>IF(ISNUMBER($AQ19),1/(1-$AQ19),"")</f>
        <v/>
      </c>
      <c r="AT19" s="4">
        <f>IF($AO19="","",IF($AP19="",1/$AO19,(1/$AO19)/((1/$AO19)+(1/$AP19))))</f>
        <v/>
      </c>
      <c r="AU19" s="4">
        <f>IF(OR(NOT(ISNUMBER($AQ19)),$AT19=""),"",$AQ19-$AT19)</f>
        <v/>
      </c>
      <c r="AV19" s="5">
        <f>IF($AU19="","",IF($AU19&gt;=0.05,"OVER",IF($AU19&lt;=-0.05,"UNDER","skip")))</f>
        <v/>
      </c>
      <c r="AW19" s="4">
        <f>IF($AV19="OVER",$AQ19*$AO19-1,IF($AV19="UNDER",IF($AP19="","need under price",(1-$AQ19)*$AP19-1),""))</f>
        <v/>
      </c>
      <c r="AX19" s="5">
        <f>IF(OR($AV19="",$AV19="skip",$AL19="",$AN19=""),"",IF($AV19="OVER",IF($AL19&gt;$AN19,"WON","LOST"),IF($AL19&lt;$AN19,"WON","LOST")))</f>
        <v/>
      </c>
      <c r="AY19" s="7">
        <f>IF($AX19="","",IF($AX19="WON",IF($AV19="OVER",$AO19-1,$AP19-1),-1))</f>
        <v/>
      </c>
      <c r="AZ19" s="8" t="inlineStr">
        <is>
          <t>actual from BBC 2026-09-19 (provisional, ~97% exact vs football-data)</t>
        </is>
      </c>
    </row>
    <row r="20">
      <c r="A20" s="2" t="inlineStr">
        <is>
          <t>2026-09-19</t>
        </is>
      </c>
      <c r="B20" s="2" t="inlineStr">
        <is>
          <t>E1</t>
        </is>
      </c>
      <c r="C20" s="2" t="inlineStr">
        <is>
          <t>Championship</t>
        </is>
      </c>
      <c r="D20" s="2" t="inlineStr">
        <is>
          <t>QPR</t>
        </is>
      </c>
      <c r="E20" s="2" t="inlineStr">
        <is>
          <t>Preston</t>
        </is>
      </c>
      <c r="F20" s="3" t="n">
        <v>3.698795180722891</v>
      </c>
      <c r="G20" s="3" t="n">
        <v>3.517556310812335</v>
      </c>
      <c r="H20" s="4" t="n">
        <v>0.8564518147399017</v>
      </c>
      <c r="I20" s="4" t="n">
        <v>0.6724984725448502</v>
      </c>
      <c r="J20" s="4" t="n">
        <v>0.4631827001382466</v>
      </c>
      <c r="K20" s="4" t="n">
        <v>0.280967553321921</v>
      </c>
      <c r="L20" s="4" t="n">
        <v>0.1515730191727829</v>
      </c>
      <c r="M20" s="4" t="n">
        <v>0.07352471451351439</v>
      </c>
      <c r="N20" s="3" t="n">
        <v>1.16760801108664</v>
      </c>
      <c r="O20" s="3" t="n">
        <v>1.486992225002129</v>
      </c>
      <c r="P20" s="3" t="n">
        <v>2.158975280599921</v>
      </c>
      <c r="Q20" s="3" t="n">
        <v>3.559129828967266</v>
      </c>
      <c r="R20" s="3" t="n">
        <v>6.59748024719405</v>
      </c>
      <c r="S20" s="3" t="n">
        <v>13.60086885908537</v>
      </c>
      <c r="T20" s="3" t="n">
        <v>6.966301929822916</v>
      </c>
      <c r="U20" s="3" t="n">
        <v>3.053420873394084</v>
      </c>
      <c r="V20" s="3" t="n">
        <v>1.862831172276918</v>
      </c>
      <c r="W20" s="3" t="n">
        <v>1.39075782271021</v>
      </c>
      <c r="X20" s="3" t="n">
        <v>1.178651814001718</v>
      </c>
      <c r="Y20" s="3" t="n">
        <v>1.079359606959086</v>
      </c>
      <c r="Z20" s="4" t="n">
        <v>0.0335655842663066</v>
      </c>
      <c r="AA20" s="4" t="n">
        <v>0.1099826009937917</v>
      </c>
      <c r="AB20" s="4" t="n">
        <v>0.1839533421950515</v>
      </c>
      <c r="AC20" s="4" t="n">
        <v>0.2093157724066036</v>
      </c>
      <c r="AD20" s="4" t="n">
        <v>0.1822151468163256</v>
      </c>
      <c r="AE20" s="4" t="n">
        <v>0.1293945341491382</v>
      </c>
      <c r="AF20" s="4" t="n">
        <v>0.07804830465926853</v>
      </c>
      <c r="AG20" s="4" t="n">
        <v>0.04111554046638901</v>
      </c>
      <c r="AH20" s="4" t="n">
        <v>0.01930405438041552</v>
      </c>
      <c r="AI20" s="5" t="inlineStr">
        <is>
          <t>t parsons</t>
        </is>
      </c>
      <c r="AJ20" s="3" t="n">
        <v>1.000325732899023</v>
      </c>
      <c r="AK20" s="5" t="n">
        <v>105</v>
      </c>
      <c r="AL20" s="8" t="n">
        <v>4</v>
      </c>
      <c r="AM20" s="8" t="n"/>
      <c r="AN20" s="8" t="n"/>
      <c r="AO20" s="8" t="n"/>
      <c r="AP20" s="8" t="n"/>
      <c r="AQ20" s="4">
        <f>IFERROR(IF($AN20="","",INDEX($H20:$M20,$AN20-0.5)),"line must be 1.5-6.5")</f>
        <v/>
      </c>
      <c r="AR20" s="3">
        <f>IF(ISNUMBER($AQ20),1/$AQ20,"")</f>
        <v/>
      </c>
      <c r="AS20" s="3">
        <f>IF(ISNUMBER($AQ20),1/(1-$AQ20),"")</f>
        <v/>
      </c>
      <c r="AT20" s="4">
        <f>IF($AO20="","",IF($AP20="",1/$AO20,(1/$AO20)/((1/$AO20)+(1/$AP20))))</f>
        <v/>
      </c>
      <c r="AU20" s="4">
        <f>IF(OR(NOT(ISNUMBER($AQ20)),$AT20=""),"",$AQ20-$AT20)</f>
        <v/>
      </c>
      <c r="AV20" s="5">
        <f>IF($AU20="","",IF($AU20&gt;=0.05,"OVER",IF($AU20&lt;=-0.05,"UNDER","skip")))</f>
        <v/>
      </c>
      <c r="AW20" s="4">
        <f>IF($AV20="OVER",$AQ20*$AO20-1,IF($AV20="UNDER",IF($AP20="","need under price",(1-$AQ20)*$AP20-1),""))</f>
        <v/>
      </c>
      <c r="AX20" s="5">
        <f>IF(OR($AV20="",$AV20="skip",$AL20="",$AN20=""),"",IF($AV20="OVER",IF($AL20&gt;$AN20,"WON","LOST"),IF($AL20&lt;$AN20,"WON","LOST")))</f>
        <v/>
      </c>
      <c r="AY20" s="7">
        <f>IF($AX20="","",IF($AX20="WON",IF($AV20="OVER",$AO20-1,$AP20-1),-1))</f>
        <v/>
      </c>
      <c r="AZ20" s="8" t="inlineStr">
        <is>
          <t>actual from BBC 2026-09-19 (provisional, ~97% exact vs football-data)</t>
        </is>
      </c>
    </row>
    <row r="21">
      <c r="A21" s="2" t="inlineStr">
        <is>
          <t>2026-09-19</t>
        </is>
      </c>
      <c r="B21" s="2" t="inlineStr">
        <is>
          <t>E1</t>
        </is>
      </c>
      <c r="C21" s="2" t="inlineStr">
        <is>
          <t>Championship</t>
        </is>
      </c>
      <c r="D21" s="2" t="inlineStr">
        <is>
          <t>Wrexham</t>
        </is>
      </c>
      <c r="E21" s="2" t="inlineStr">
        <is>
          <t>Southampton</t>
        </is>
      </c>
      <c r="F21" s="3" t="n">
        <v>3.698795180722891</v>
      </c>
      <c r="G21" s="3" t="n">
        <v>3.366103320860419</v>
      </c>
      <c r="H21" s="4" t="n">
        <v>0.8397629154520863</v>
      </c>
      <c r="I21" s="4" t="n">
        <v>0.6445958724949473</v>
      </c>
      <c r="J21" s="4" t="n">
        <v>0.4314535547222244</v>
      </c>
      <c r="K21" s="4" t="n">
        <v>0.2533710993284972</v>
      </c>
      <c r="L21" s="4" t="n">
        <v>0.1319982572888307</v>
      </c>
      <c r="M21" s="4" t="n">
        <v>0.06173342820312833</v>
      </c>
      <c r="N21" s="3" t="n">
        <v>1.190812289515845</v>
      </c>
      <c r="O21" s="3" t="n">
        <v>1.551359607888024</v>
      </c>
      <c r="P21" s="3" t="n">
        <v>2.317746577945831</v>
      </c>
      <c r="Q21" s="3" t="n">
        <v>3.946780049698935</v>
      </c>
      <c r="R21" s="3" t="n">
        <v>7.575857594936722</v>
      </c>
      <c r="S21" s="3" t="n">
        <v>16.19867921006411</v>
      </c>
      <c r="T21" s="3" t="n">
        <v>6.240752587463498</v>
      </c>
      <c r="U21" s="3" t="n">
        <v>2.813698329898499</v>
      </c>
      <c r="V21" s="3" t="n">
        <v>1.758871255472239</v>
      </c>
      <c r="W21" s="3" t="n">
        <v>1.339353458057437</v>
      </c>
      <c r="X21" s="3" t="n">
        <v>1.152071419668513</v>
      </c>
      <c r="Y21" s="3" t="n">
        <v>1.065795190896445</v>
      </c>
      <c r="Z21" s="4" t="n">
        <v>0.03865940360238185</v>
      </c>
      <c r="AA21" s="4" t="n">
        <v>0.1215776809455319</v>
      </c>
      <c r="AB21" s="4" t="n">
        <v>0.1951670429571389</v>
      </c>
      <c r="AC21" s="4" t="n">
        <v>0.213142317772723</v>
      </c>
      <c r="AD21" s="4" t="n">
        <v>0.1780824553937272</v>
      </c>
      <c r="AE21" s="4" t="n">
        <v>0.1213728420396664</v>
      </c>
      <c r="AF21" s="4" t="n">
        <v>0.07026482908570242</v>
      </c>
      <c r="AG21" s="4" t="n">
        <v>0.03552625706937457</v>
      </c>
      <c r="AH21" s="4" t="n">
        <v>0.01600887867150482</v>
      </c>
      <c r="AI21" s="5" t="inlineStr">
        <is>
          <t>g ward</t>
        </is>
      </c>
      <c r="AJ21" s="3" t="n">
        <v>0.8651465798045603</v>
      </c>
      <c r="AK21" s="5" t="n">
        <v>534</v>
      </c>
      <c r="AL21" s="8" t="n">
        <v>5</v>
      </c>
      <c r="AM21" s="8" t="n"/>
      <c r="AN21" s="8" t="n"/>
      <c r="AO21" s="8" t="n"/>
      <c r="AP21" s="8" t="n"/>
      <c r="AQ21" s="4">
        <f>IFERROR(IF($AN21="","",INDEX($H21:$M21,$AN21-0.5)),"line must be 1.5-6.5")</f>
        <v/>
      </c>
      <c r="AR21" s="3">
        <f>IF(ISNUMBER($AQ21),1/$AQ21,"")</f>
        <v/>
      </c>
      <c r="AS21" s="3">
        <f>IF(ISNUMBER($AQ21),1/(1-$AQ21),"")</f>
        <v/>
      </c>
      <c r="AT21" s="4">
        <f>IF($AO21="","",IF($AP21="",1/$AO21,(1/$AO21)/((1/$AO21)+(1/$AP21))))</f>
        <v/>
      </c>
      <c r="AU21" s="4">
        <f>IF(OR(NOT(ISNUMBER($AQ21)),$AT21=""),"",$AQ21-$AT21)</f>
        <v/>
      </c>
      <c r="AV21" s="5">
        <f>IF($AU21="","",IF($AU21&gt;=0.05,"OVER",IF($AU21&lt;=-0.05,"UNDER","skip")))</f>
        <v/>
      </c>
      <c r="AW21" s="4">
        <f>IF($AV21="OVER",$AQ21*$AO21-1,IF($AV21="UNDER",IF($AP21="","need under price",(1-$AQ21)*$AP21-1),""))</f>
        <v/>
      </c>
      <c r="AX21" s="5">
        <f>IF(OR($AV21="",$AV21="skip",$AL21="",$AN21=""),"",IF($AV21="OVER",IF($AL21&gt;$AN21,"WON","LOST"),IF($AL21&lt;$AN21,"WON","LOST")))</f>
        <v/>
      </c>
      <c r="AY21" s="7">
        <f>IF($AX21="","",IF($AX21="WON",IF($AV21="OVER",$AO21-1,$AP21-1),-1))</f>
        <v/>
      </c>
      <c r="AZ21" s="8" t="inlineStr">
        <is>
          <t>actual from BBC 2026-09-19 (provisional, ~97% exact vs football-data)</t>
        </is>
      </c>
    </row>
    <row r="22">
      <c r="A22" s="2" t="inlineStr">
        <is>
          <t>2026-09-20</t>
        </is>
      </c>
      <c r="B22" s="2" t="inlineStr">
        <is>
          <t>E1</t>
        </is>
      </c>
      <c r="C22" s="2" t="inlineStr">
        <is>
          <t>Championship</t>
        </is>
      </c>
      <c r="D22" s="2" t="inlineStr">
        <is>
          <t>Wolves</t>
        </is>
      </c>
      <c r="E22" s="2" t="inlineStr">
        <is>
          <t>West Brom</t>
        </is>
      </c>
      <c r="F22" s="3" t="n">
        <v>3.698795180722891</v>
      </c>
      <c r="G22" s="3" t="n">
        <v>4.079986222298816</v>
      </c>
      <c r="H22" s="4" t="n">
        <v>0.9051251919898751</v>
      </c>
      <c r="I22" s="4" t="n">
        <v>0.7613154145640391</v>
      </c>
      <c r="J22" s="4" t="n">
        <v>0.5735695473765402</v>
      </c>
      <c r="K22" s="4" t="n">
        <v>0.3860525646839799</v>
      </c>
      <c r="L22" s="4" t="n">
        <v>0.2332749369881992</v>
      </c>
      <c r="M22" s="4" t="n">
        <v>0.1275457227950855</v>
      </c>
      <c r="N22" s="3" t="n">
        <v>1.10481954192607</v>
      </c>
      <c r="O22" s="3" t="n">
        <v>1.313516028796871</v>
      </c>
      <c r="P22" s="3" t="n">
        <v>1.743467735645865</v>
      </c>
      <c r="Q22" s="3" t="n">
        <v>2.590320830580658</v>
      </c>
      <c r="R22" s="3" t="n">
        <v>4.286787140148654</v>
      </c>
      <c r="S22" s="3" t="n">
        <v>7.840325634491065</v>
      </c>
      <c r="T22" s="3" t="n">
        <v>10.54020578248001</v>
      </c>
      <c r="U22" s="3" t="n">
        <v>4.189629582377451</v>
      </c>
      <c r="V22" s="3" t="n">
        <v>2.345048281256322</v>
      </c>
      <c r="W22" s="3" t="n">
        <v>1.628803937401034</v>
      </c>
      <c r="X22" s="3" t="n">
        <v>1.304248482594091</v>
      </c>
      <c r="Y22" s="3" t="n">
        <v>1.146191870597167</v>
      </c>
      <c r="Z22" s="4" t="n">
        <v>0.01993423358530076</v>
      </c>
      <c r="AA22" s="4" t="n">
        <v>0.07494057442482421</v>
      </c>
      <c r="AB22" s="4" t="n">
        <v>0.143809777425836</v>
      </c>
      <c r="AC22" s="4" t="n">
        <v>0.1877458671874988</v>
      </c>
      <c r="AD22" s="4" t="n">
        <v>0.1875169826925604</v>
      </c>
      <c r="AE22" s="4" t="n">
        <v>0.1527776276957806</v>
      </c>
      <c r="AF22" s="4" t="n">
        <v>0.1057292141931138</v>
      </c>
      <c r="AG22" s="4" t="n">
        <v>0.06390358661578367</v>
      </c>
      <c r="AH22" s="4" t="n">
        <v>0.03442353467505789</v>
      </c>
      <c r="AI22" s="5" t="inlineStr">
        <is>
          <t>j smith</t>
        </is>
      </c>
      <c r="AJ22" s="3" t="n">
        <v>1.18957654723127</v>
      </c>
      <c r="AK22" s="5" t="n">
        <v>196</v>
      </c>
      <c r="AL22" s="8" t="n">
        <v>3</v>
      </c>
      <c r="AM22" s="8" t="n"/>
      <c r="AN22" s="8" t="n"/>
      <c r="AO22" s="8" t="n"/>
      <c r="AP22" s="8" t="n"/>
      <c r="AQ22" s="4">
        <f>IFERROR(IF($AN22="","",INDEX($H22:$M22,$AN22-0.5)),"line must be 1.5-6.5")</f>
        <v/>
      </c>
      <c r="AR22" s="3">
        <f>IF(ISNUMBER($AQ22),1/$AQ22,"")</f>
        <v/>
      </c>
      <c r="AS22" s="3">
        <f>IF(ISNUMBER($AQ22),1/(1-$AQ22),"")</f>
        <v/>
      </c>
      <c r="AT22" s="4">
        <f>IF($AO22="","",IF($AP22="",1/$AO22,(1/$AO22)/((1/$AO22)+(1/$AP22))))</f>
        <v/>
      </c>
      <c r="AU22" s="4">
        <f>IF(OR(NOT(ISNUMBER($AQ22)),$AT22=""),"",$AQ22-$AT22)</f>
        <v/>
      </c>
      <c r="AV22" s="5">
        <f>IF($AU22="","",IF($AU22&gt;=0.05,"OVER",IF($AU22&lt;=-0.05,"UNDER","skip")))</f>
        <v/>
      </c>
      <c r="AW22" s="4">
        <f>IF($AV22="OVER",$AQ22*$AO22-1,IF($AV22="UNDER",IF($AP22="","need under price",(1-$AQ22)*$AP22-1),""))</f>
        <v/>
      </c>
      <c r="AX22" s="5">
        <f>IF(OR($AV22="",$AV22="skip",$AL22="",$AN22=""),"",IF($AV22="OVER",IF($AL22&gt;$AN22,"WON","LOST"),IF($AL22&lt;$AN22,"WON","LOST")))</f>
        <v/>
      </c>
      <c r="AY22" s="7">
        <f>IF($AX22="","",IF($AX22="WON",IF($AV22="OVER",$AO22-1,$AP22-1),-1))</f>
        <v/>
      </c>
      <c r="AZ22" s="8" t="inlineStr">
        <is>
          <t>actual from BBC 2026-09-20 (provisional, ~97% exact vs football-data)</t>
        </is>
      </c>
    </row>
    <row r="23">
      <c r="A23" s="2" t="inlineStr">
        <is>
          <t>2026-09-20</t>
        </is>
      </c>
      <c r="B23" s="2" t="inlineStr">
        <is>
          <t>E1</t>
        </is>
      </c>
      <c r="C23" s="2" t="inlineStr">
        <is>
          <t>Championship</t>
        </is>
      </c>
      <c r="D23" s="2" t="inlineStr">
        <is>
          <t>Norwich</t>
        </is>
      </c>
      <c r="E23" s="2" t="inlineStr">
        <is>
          <t>Bolton</t>
        </is>
      </c>
      <c r="F23" s="3" t="n">
        <v>3.698795180722891</v>
      </c>
      <c r="G23" s="3" t="n">
        <v>4.058904514265135</v>
      </c>
      <c r="H23" s="4" t="n">
        <v>0.9036277820951533</v>
      </c>
      <c r="I23" s="4" t="n">
        <v>0.7583900772055187</v>
      </c>
      <c r="J23" s="4" t="n">
        <v>0.5696831449585257</v>
      </c>
      <c r="K23" s="4" t="n">
        <v>0.3821039876549939</v>
      </c>
      <c r="L23" s="4" t="n">
        <v>0.2300036277045268</v>
      </c>
      <c r="M23" s="4" t="n">
        <v>0.1252444719913194</v>
      </c>
      <c r="N23" s="3" t="n">
        <v>1.106650348533329</v>
      </c>
      <c r="O23" s="3" t="n">
        <v>1.318582652986118</v>
      </c>
      <c r="P23" s="3" t="n">
        <v>1.755361745997948</v>
      </c>
      <c r="Q23" s="3" t="n">
        <v>2.617088625892362</v>
      </c>
      <c r="R23" s="3" t="n">
        <v>4.34775751139302</v>
      </c>
      <c r="S23" s="3" t="n">
        <v>7.984384333300629</v>
      </c>
      <c r="T23" s="3" t="n">
        <v>10.37643443038067</v>
      </c>
      <c r="U23" s="3" t="n">
        <v>4.138902858102487</v>
      </c>
      <c r="V23" s="3" t="n">
        <v>2.323869000910083</v>
      </c>
      <c r="W23" s="3" t="n">
        <v>1.618395296329642</v>
      </c>
      <c r="X23" s="3" t="n">
        <v>1.298707417307502</v>
      </c>
      <c r="Y23" s="3" t="n">
        <v>1.1431765424523</v>
      </c>
      <c r="Z23" s="4" t="n">
        <v>0.02032532483870165</v>
      </c>
      <c r="AA23" s="4" t="n">
        <v>0.07604689306614511</v>
      </c>
      <c r="AB23" s="4" t="n">
        <v>0.1452377048896346</v>
      </c>
      <c r="AC23" s="4" t="n">
        <v>0.188706932246993</v>
      </c>
      <c r="AD23" s="4" t="n">
        <v>0.1875791573035318</v>
      </c>
      <c r="AE23" s="4" t="n">
        <v>0.1521003599504671</v>
      </c>
      <c r="AF23" s="4" t="n">
        <v>0.1047591557132073</v>
      </c>
      <c r="AG23" s="4" t="n">
        <v>0.06301569413874669</v>
      </c>
      <c r="AH23" s="4" t="n">
        <v>0.03378356361864859</v>
      </c>
      <c r="AI23" s="5" t="inlineStr">
        <is>
          <t>t nield</t>
        </is>
      </c>
      <c r="AJ23" s="3" t="n">
        <v>0.9732899022801303</v>
      </c>
      <c r="AK23" s="5" t="n">
        <v>219</v>
      </c>
      <c r="AL23" s="8" t="n">
        <v>0</v>
      </c>
      <c r="AM23" s="8" t="n"/>
      <c r="AN23" s="8" t="n"/>
      <c r="AO23" s="8" t="n"/>
      <c r="AP23" s="8" t="n"/>
      <c r="AQ23" s="4">
        <f>IFERROR(IF($AN23="","",INDEX($H23:$M23,$AN23-0.5)),"line must be 1.5-6.5")</f>
        <v/>
      </c>
      <c r="AR23" s="3">
        <f>IF(ISNUMBER($AQ23),1/$AQ23,"")</f>
        <v/>
      </c>
      <c r="AS23" s="3">
        <f>IF(ISNUMBER($AQ23),1/(1-$AQ23),"")</f>
        <v/>
      </c>
      <c r="AT23" s="4">
        <f>IF($AO23="","",IF($AP23="",1/$AO23,(1/$AO23)/((1/$AO23)+(1/$AP23))))</f>
        <v/>
      </c>
      <c r="AU23" s="4">
        <f>IF(OR(NOT(ISNUMBER($AQ23)),$AT23=""),"",$AQ23-$AT23)</f>
        <v/>
      </c>
      <c r="AV23" s="5">
        <f>IF($AU23="","",IF($AU23&gt;=0.05,"OVER",IF($AU23&lt;=-0.05,"UNDER","skip")))</f>
        <v/>
      </c>
      <c r="AW23" s="4">
        <f>IF($AV23="OVER",$AQ23*$AO23-1,IF($AV23="UNDER",IF($AP23="","need under price",(1-$AQ23)*$AP23-1),""))</f>
        <v/>
      </c>
      <c r="AX23" s="5">
        <f>IF(OR($AV23="",$AV23="skip",$AL23="",$AN23=""),"",IF($AV23="OVER",IF($AL23&gt;$AN23,"WON","LOST"),IF($AL23&lt;$AN23,"WON","LOST")))</f>
        <v/>
      </c>
      <c r="AY23" s="7">
        <f>IF($AX23="","",IF($AX23="WON",IF($AV23="OVER",$AO23-1,$AP23-1),-1))</f>
        <v/>
      </c>
      <c r="AZ23" s="8" t="inlineStr">
        <is>
          <t>actual from BBC 2026-09-20 (provisional, ~97% exact vs football-data)</t>
        </is>
      </c>
    </row>
    <row r="24">
      <c r="A24" s="2" t="inlineStr">
        <is>
          <t>2026-09-17</t>
        </is>
      </c>
      <c r="B24" s="2" t="inlineStr">
        <is>
          <t>E2</t>
        </is>
      </c>
      <c r="C24" s="2" t="inlineStr">
        <is>
          <t>League One</t>
        </is>
      </c>
      <c r="D24" s="2" t="inlineStr">
        <is>
          <t>AFC Wimbledon</t>
        </is>
      </c>
      <c r="E24" s="2" t="inlineStr">
        <is>
          <t>Milton Keynes Dons</t>
        </is>
      </c>
      <c r="F24" s="3" t="n">
        <v>3.55</v>
      </c>
      <c r="G24" s="3" t="n">
        <v>3.569745320427991</v>
      </c>
      <c r="H24" s="4" t="n">
        <v>0.8618063598982656</v>
      </c>
      <c r="I24" s="4" t="n">
        <v>0.6817052612726213</v>
      </c>
      <c r="J24" s="4" t="n">
        <v>0.4739481760158752</v>
      </c>
      <c r="K24" s="4" t="n">
        <v>0.2905943634917336</v>
      </c>
      <c r="L24" s="4" t="n">
        <v>0.1585927906526653</v>
      </c>
      <c r="M24" s="4" t="n">
        <v>0.07787110052002577</v>
      </c>
      <c r="N24" s="3" t="n">
        <v>1.160353469795753</v>
      </c>
      <c r="O24" s="3" t="n">
        <v>1.466909611542648</v>
      </c>
      <c r="P24" s="3" t="n">
        <v>2.109935327542023</v>
      </c>
      <c r="Q24" s="3" t="n">
        <v>3.441222974816738</v>
      </c>
      <c r="R24" s="3" t="n">
        <v>6.305456861466698</v>
      </c>
      <c r="S24" s="3" t="n">
        <v>12.84173452438667</v>
      </c>
      <c r="T24" s="3" t="n">
        <v>7.236223022013366</v>
      </c>
      <c r="U24" s="3" t="n">
        <v>3.141742160106849</v>
      </c>
      <c r="V24" s="3" t="n">
        <v>1.900953393577014</v>
      </c>
      <c r="W24" s="3" t="n">
        <v>1.409630750781817</v>
      </c>
      <c r="X24" s="3" t="n">
        <v>1.188485181599149</v>
      </c>
      <c r="Y24" s="3" t="n">
        <v>1.084447088215043</v>
      </c>
      <c r="Z24" s="4" t="n">
        <v>0.03197662638815436</v>
      </c>
      <c r="AA24" s="4" t="n">
        <v>0.1062170137135801</v>
      </c>
      <c r="AB24" s="4" t="n">
        <v>0.1801010986256442</v>
      </c>
      <c r="AC24" s="4" t="n">
        <v>0.2077570852567462</v>
      </c>
      <c r="AD24" s="4" t="n">
        <v>0.1833538125241416</v>
      </c>
      <c r="AE24" s="4" t="n">
        <v>0.1320015728390683</v>
      </c>
      <c r="AF24" s="4" t="n">
        <v>0.08072169013263955</v>
      </c>
      <c r="AG24" s="4" t="n">
        <v>0.04311238489755224</v>
      </c>
      <c r="AH24" s="4" t="n">
        <v>0.0205219826201685</v>
      </c>
      <c r="AI24" s="5" t="inlineStr">
        <is>
          <t>not known</t>
        </is>
      </c>
      <c r="AJ24" s="3" t="n"/>
      <c r="AK24" s="5" t="n">
        <v>0</v>
      </c>
      <c r="AL24" s="8" t="n">
        <v>3</v>
      </c>
      <c r="AM24" s="8" t="n"/>
      <c r="AN24" s="8" t="n"/>
      <c r="AO24" s="8" t="n"/>
      <c r="AP24" s="8" t="n"/>
      <c r="AQ24" s="4">
        <f>IFERROR(IF($AN24="","",INDEX($H24:$M24,$AN24-0.5)),"line must be 1.5-6.5")</f>
        <v/>
      </c>
      <c r="AR24" s="3">
        <f>IF(ISNUMBER($AQ24),1/$AQ24,"")</f>
        <v/>
      </c>
      <c r="AS24" s="3">
        <f>IF(ISNUMBER($AQ24),1/(1-$AQ24),"")</f>
        <v/>
      </c>
      <c r="AT24" s="4">
        <f>IF($AO24="","",IF($AP24="",1/$AO24,(1/$AO24)/((1/$AO24)+(1/$AP24))))</f>
        <v/>
      </c>
      <c r="AU24" s="4">
        <f>IF(OR(NOT(ISNUMBER($AQ24)),$AT24=""),"",$AQ24-$AT24)</f>
        <v/>
      </c>
      <c r="AV24" s="5">
        <f>IF($AU24="","",IF($AU24&gt;=0.05,"OVER",IF($AU24&lt;=-0.05,"UNDER","skip")))</f>
        <v/>
      </c>
      <c r="AW24" s="4">
        <f>IF($AV24="OVER",$AQ24*$AO24-1,IF($AV24="UNDER",IF($AP24="","need under price",(1-$AQ24)*$AP24-1),""))</f>
        <v/>
      </c>
      <c r="AX24" s="5">
        <f>IF(OR($AV24="",$AV24="skip",$AL24="",$AN24=""),"",IF($AV24="OVER",IF($AL24&gt;$AN24,"WON","LOST"),IF($AL24&lt;$AN24,"WON","LOST")))</f>
        <v/>
      </c>
      <c r="AY24" s="7">
        <f>IF($AX24="","",IF($AX24="WON",IF($AV24="OVER",$AO24-1,$AP24-1),-1))</f>
        <v/>
      </c>
      <c r="AZ24" s="8" t="inlineStr">
        <is>
          <t>3 yellows (1+2) per afcwimbledon.co.uk match report; football-data still had 0 -- cards lag a few days</t>
        </is>
      </c>
    </row>
    <row r="25">
      <c r="A25" s="2" t="inlineStr">
        <is>
          <t>2026-09-19</t>
        </is>
      </c>
      <c r="B25" s="2" t="inlineStr">
        <is>
          <t>E2</t>
        </is>
      </c>
      <c r="C25" s="2" t="inlineStr">
        <is>
          <t>League One</t>
        </is>
      </c>
      <c r="D25" s="2" t="inlineStr">
        <is>
          <t>Barnsley</t>
        </is>
      </c>
      <c r="E25" s="2" t="inlineStr">
        <is>
          <t>Leicester</t>
        </is>
      </c>
      <c r="F25" s="3" t="n">
        <v>3.472222222222222</v>
      </c>
      <c r="G25" s="3" t="n">
        <v>3.9333467274295</v>
      </c>
      <c r="H25" s="4" t="n">
        <v>0.8942282762046496</v>
      </c>
      <c r="I25" s="4" t="n">
        <v>0.7403364518196159</v>
      </c>
      <c r="J25" s="4" t="n">
        <v>0.5461006370943411</v>
      </c>
      <c r="K25" s="4" t="n">
        <v>0.3585444808388623</v>
      </c>
      <c r="L25" s="4" t="n">
        <v>0.2108098635681798</v>
      </c>
      <c r="M25" s="4" t="n">
        <v>0.1119660926590148</v>
      </c>
      <c r="N25" s="3" t="n">
        <v>1.118282687552975</v>
      </c>
      <c r="O25" s="3" t="n">
        <v>1.350737218925499</v>
      </c>
      <c r="P25" s="3" t="n">
        <v>1.831164316747072</v>
      </c>
      <c r="Q25" s="3" t="n">
        <v>2.789054227415153</v>
      </c>
      <c r="R25" s="3" t="n">
        <v>4.743611058201656</v>
      </c>
      <c r="S25" s="3" t="n">
        <v>8.931275319622278</v>
      </c>
      <c r="T25" s="3" t="n">
        <v>9.454322612107783</v>
      </c>
      <c r="U25" s="3" t="n">
        <v>3.851137393013347</v>
      </c>
      <c r="V25" s="3" t="n">
        <v>2.203131534705075</v>
      </c>
      <c r="W25" s="3" t="n">
        <v>1.558954549658795</v>
      </c>
      <c r="X25" s="3" t="n">
        <v>1.267121766778939</v>
      </c>
      <c r="Y25" s="3" t="n">
        <v>1.126083127832666</v>
      </c>
      <c r="Z25" s="4" t="n">
        <v>0.02282249357960374</v>
      </c>
      <c r="AA25" s="4" t="n">
        <v>0.0829492302157466</v>
      </c>
      <c r="AB25" s="4" t="n">
        <v>0.1538918243850337</v>
      </c>
      <c r="AC25" s="4" t="n">
        <v>0.1942358147252749</v>
      </c>
      <c r="AD25" s="4" t="n">
        <v>0.1875561562554788</v>
      </c>
      <c r="AE25" s="4" t="n">
        <v>0.1477346172706825</v>
      </c>
      <c r="AF25" s="4" t="n">
        <v>0.09884377090916494</v>
      </c>
      <c r="AG25" s="4" t="n">
        <v>0.05775789096831873</v>
      </c>
      <c r="AH25" s="4" t="n">
        <v>0.03007968936656789</v>
      </c>
      <c r="AI25" s="5" t="inlineStr">
        <is>
          <t>s stockbridge</t>
        </is>
      </c>
      <c r="AJ25" s="3" t="n">
        <v>1.1808</v>
      </c>
      <c r="AK25" s="5" t="n">
        <v>359</v>
      </c>
      <c r="AL25" s="8" t="n">
        <v>8</v>
      </c>
      <c r="AM25" s="8" t="n"/>
      <c r="AN25" s="8" t="n"/>
      <c r="AO25" s="8" t="n"/>
      <c r="AP25" s="8" t="n"/>
      <c r="AQ25" s="4">
        <f>IFERROR(IF($AN25="","",INDEX($H25:$M25,$AN25-0.5)),"line must be 1.5-6.5")</f>
        <v/>
      </c>
      <c r="AR25" s="3">
        <f>IF(ISNUMBER($AQ25),1/$AQ25,"")</f>
        <v/>
      </c>
      <c r="AS25" s="3">
        <f>IF(ISNUMBER($AQ25),1/(1-$AQ25),"")</f>
        <v/>
      </c>
      <c r="AT25" s="4">
        <f>IF($AO25="","",IF($AP25="",1/$AO25,(1/$AO25)/((1/$AO25)+(1/$AP25))))</f>
        <v/>
      </c>
      <c r="AU25" s="4">
        <f>IF(OR(NOT(ISNUMBER($AQ25)),$AT25=""),"",$AQ25-$AT25)</f>
        <v/>
      </c>
      <c r="AV25" s="5">
        <f>IF($AU25="","",IF($AU25&gt;=0.05,"OVER",IF($AU25&lt;=-0.05,"UNDER","skip")))</f>
        <v/>
      </c>
      <c r="AW25" s="4">
        <f>IF($AV25="OVER",$AQ25*$AO25-1,IF($AV25="UNDER",IF($AP25="","need under price",(1-$AQ25)*$AP25-1),""))</f>
        <v/>
      </c>
      <c r="AX25" s="5">
        <f>IF(OR($AV25="",$AV25="skip",$AL25="",$AN25=""),"",IF($AV25="OVER",IF($AL25&gt;$AN25,"WON","LOST"),IF($AL25&lt;$AN25,"WON","LOST")))</f>
        <v/>
      </c>
      <c r="AY25" s="7">
        <f>IF($AX25="","",IF($AX25="WON",IF($AV25="OVER",$AO25-1,$AP25-1),-1))</f>
        <v/>
      </c>
      <c r="AZ25" s="8" t="inlineStr">
        <is>
          <t>actual from BBC 2026-09-19 (provisional, ~97% exact vs football-data)</t>
        </is>
      </c>
    </row>
    <row r="26">
      <c r="A26" s="2" t="inlineStr">
        <is>
          <t>2026-09-19</t>
        </is>
      </c>
      <c r="B26" s="2" t="inlineStr">
        <is>
          <t>E2</t>
        </is>
      </c>
      <c r="C26" s="2" t="inlineStr">
        <is>
          <t>League One</t>
        </is>
      </c>
      <c r="D26" s="2" t="inlineStr">
        <is>
          <t>Burton</t>
        </is>
      </c>
      <c r="E26" s="2" t="inlineStr">
        <is>
          <t>Mansfield</t>
        </is>
      </c>
      <c r="F26" s="3" t="n">
        <v>3.472222222222222</v>
      </c>
      <c r="G26" s="3" t="n">
        <v>3.641103746850428</v>
      </c>
      <c r="H26" s="4" t="n">
        <v>0.8688393951212019</v>
      </c>
      <c r="I26" s="4" t="n">
        <v>0.6939821595410987</v>
      </c>
      <c r="J26" s="4" t="n">
        <v>0.4885225595428422</v>
      </c>
      <c r="K26" s="4" t="n">
        <v>0.3038265479017347</v>
      </c>
      <c r="L26" s="4" t="n">
        <v>0.1683894835426023</v>
      </c>
      <c r="M26" s="4" t="n">
        <v>0.08403005432151311</v>
      </c>
      <c r="N26" s="3" t="n">
        <v>1.150960701845824</v>
      </c>
      <c r="O26" s="3" t="n">
        <v>1.440959232527329</v>
      </c>
      <c r="P26" s="3" t="n">
        <v>2.046988374366573</v>
      </c>
      <c r="Q26" s="3" t="n">
        <v>3.291351617908734</v>
      </c>
      <c r="R26" s="3" t="n">
        <v>5.938613142352215</v>
      </c>
      <c r="S26" s="3" t="n">
        <v>11.90050402887795</v>
      </c>
      <c r="T26" s="3" t="n">
        <v>7.624240532620846</v>
      </c>
      <c r="U26" s="3" t="n">
        <v>3.267783337404152</v>
      </c>
      <c r="V26" s="3" t="n">
        <v>1.955120443056494</v>
      </c>
      <c r="W26" s="3" t="n">
        <v>1.436423634061313</v>
      </c>
      <c r="X26" s="3" t="n">
        <v>1.202485995799969</v>
      </c>
      <c r="Y26" s="3" t="n">
        <v>1.091738877151989</v>
      </c>
      <c r="Z26" s="4" t="n">
        <v>0.02992078750187481</v>
      </c>
      <c r="AA26" s="4" t="n">
        <v>0.1012398173769234</v>
      </c>
      <c r="AB26" s="4" t="n">
        <v>0.1748572355801032</v>
      </c>
      <c r="AC26" s="4" t="n">
        <v>0.2054595999982564</v>
      </c>
      <c r="AD26" s="4" t="n">
        <v>0.1846960116411075</v>
      </c>
      <c r="AE26" s="4" t="n">
        <v>0.1354370643591323</v>
      </c>
      <c r="AF26" s="4" t="n">
        <v>0.08435942922108917</v>
      </c>
      <c r="AG26" s="4" t="n">
        <v>0.04589070404088916</v>
      </c>
      <c r="AH26" s="4" t="n">
        <v>0.02224927212441267</v>
      </c>
      <c r="AI26" s="5" t="inlineStr">
        <is>
          <t>o mackey</t>
        </is>
      </c>
      <c r="AJ26" s="3" t="n">
        <v>0.9792</v>
      </c>
      <c r="AK26" s="5" t="n">
        <v>24</v>
      </c>
      <c r="AL26" s="8" t="n">
        <v>6</v>
      </c>
      <c r="AM26" s="8" t="n"/>
      <c r="AN26" s="8" t="n"/>
      <c r="AO26" s="8" t="n"/>
      <c r="AP26" s="8" t="n"/>
      <c r="AQ26" s="4">
        <f>IFERROR(IF($AN26="","",INDEX($H26:$M26,$AN26-0.5)),"line must be 1.5-6.5")</f>
        <v/>
      </c>
      <c r="AR26" s="3">
        <f>IF(ISNUMBER($AQ26),1/$AQ26,"")</f>
        <v/>
      </c>
      <c r="AS26" s="3">
        <f>IF(ISNUMBER($AQ26),1/(1-$AQ26),"")</f>
        <v/>
      </c>
      <c r="AT26" s="4">
        <f>IF($AO26="","",IF($AP26="",1/$AO26,(1/$AO26)/((1/$AO26)+(1/$AP26))))</f>
        <v/>
      </c>
      <c r="AU26" s="4">
        <f>IF(OR(NOT(ISNUMBER($AQ26)),$AT26=""),"",$AQ26-$AT26)</f>
        <v/>
      </c>
      <c r="AV26" s="5">
        <f>IF($AU26="","",IF($AU26&gt;=0.05,"OVER",IF($AU26&lt;=-0.05,"UNDER","skip")))</f>
        <v/>
      </c>
      <c r="AW26" s="4">
        <f>IF($AV26="OVER",$AQ26*$AO26-1,IF($AV26="UNDER",IF($AP26="","need under price",(1-$AQ26)*$AP26-1),""))</f>
        <v/>
      </c>
      <c r="AX26" s="5">
        <f>IF(OR($AV26="",$AV26="skip",$AL26="",$AN26=""),"",IF($AV26="OVER",IF($AL26&gt;$AN26,"WON","LOST"),IF($AL26&lt;$AN26,"WON","LOST")))</f>
        <v/>
      </c>
      <c r="AY26" s="7">
        <f>IF($AX26="","",IF($AX26="WON",IF($AV26="OVER",$AO26-1,$AP26-1),-1))</f>
        <v/>
      </c>
      <c r="AZ26" s="8" t="inlineStr">
        <is>
          <t>actual from BBC 2026-09-19 (provisional, ~97% exact vs football-data)</t>
        </is>
      </c>
    </row>
    <row r="27">
      <c r="A27" s="2" t="inlineStr">
        <is>
          <t>2026-09-19</t>
        </is>
      </c>
      <c r="B27" s="2" t="inlineStr">
        <is>
          <t>E2</t>
        </is>
      </c>
      <c r="C27" s="2" t="inlineStr">
        <is>
          <t>League One</t>
        </is>
      </c>
      <c r="D27" s="2" t="inlineStr">
        <is>
          <t>Blackpool</t>
        </is>
      </c>
      <c r="E27" s="2" t="inlineStr">
        <is>
          <t>Plymouth</t>
        </is>
      </c>
      <c r="F27" s="3" t="n">
        <v>3.472222222222222</v>
      </c>
      <c r="G27" s="3" t="n">
        <v>3.974398335101448</v>
      </c>
      <c r="H27" s="4" t="n">
        <v>0.8973942563950909</v>
      </c>
      <c r="I27" s="4" t="n">
        <v>0.7463591504499449</v>
      </c>
      <c r="J27" s="4" t="n">
        <v>0.5538919944839584</v>
      </c>
      <c r="K27" s="4" t="n">
        <v>0.3662527817506437</v>
      </c>
      <c r="L27" s="4" t="n">
        <v>0.2170284953509802</v>
      </c>
      <c r="M27" s="4" t="n">
        <v>0.1162259483145414</v>
      </c>
      <c r="N27" s="3" t="n">
        <v>1.114337419560813</v>
      </c>
      <c r="O27" s="3" t="n">
        <v>1.339837529153554</v>
      </c>
      <c r="P27" s="3" t="n">
        <v>1.805406126029434</v>
      </c>
      <c r="Q27" s="3" t="n">
        <v>2.730354688966789</v>
      </c>
      <c r="R27" s="3" t="n">
        <v>4.607689872165367</v>
      </c>
      <c r="S27" s="3" t="n">
        <v>8.603930658356152</v>
      </c>
      <c r="T27" s="3" t="n">
        <v>9.746043105058256</v>
      </c>
      <c r="U27" s="3" t="n">
        <v>3.942582599663836</v>
      </c>
      <c r="V27" s="3" t="n">
        <v>2.241609627344025</v>
      </c>
      <c r="W27" s="3" t="n">
        <v>1.577916196243621</v>
      </c>
      <c r="X27" s="3" t="n">
        <v>1.277185688192148</v>
      </c>
      <c r="Y27" s="3" t="n">
        <v>1.131510930981607</v>
      </c>
      <c r="Z27" s="4" t="n">
        <v>0.02197331228088804</v>
      </c>
      <c r="AA27" s="4" t="n">
        <v>0.08063243132402111</v>
      </c>
      <c r="AB27" s="4" t="n">
        <v>0.1510351059451459</v>
      </c>
      <c r="AC27" s="4" t="n">
        <v>0.1924671559659866</v>
      </c>
      <c r="AD27" s="4" t="n">
        <v>0.1876392127333147</v>
      </c>
      <c r="AE27" s="4" t="n">
        <v>0.1492242863996635</v>
      </c>
      <c r="AF27" s="4" t="n">
        <v>0.1008025470364388</v>
      </c>
      <c r="AG27" s="4" t="n">
        <v>0.05947007523660607</v>
      </c>
      <c r="AH27" s="4" t="n">
        <v>0.03126982633958737</v>
      </c>
      <c r="AI27" s="5" t="inlineStr">
        <is>
          <t>d drysdale</t>
        </is>
      </c>
      <c r="AJ27" s="3" t="n">
        <v>1.296</v>
      </c>
      <c r="AK27" s="5" t="n">
        <v>497</v>
      </c>
      <c r="AL27" s="8" t="n">
        <v>3</v>
      </c>
      <c r="AM27" s="8" t="n"/>
      <c r="AN27" s="8" t="n"/>
      <c r="AO27" s="8" t="n"/>
      <c r="AP27" s="8" t="n"/>
      <c r="AQ27" s="4">
        <f>IFERROR(IF($AN27="","",INDEX($H27:$M27,$AN27-0.5)),"line must be 1.5-6.5")</f>
        <v/>
      </c>
      <c r="AR27" s="3">
        <f>IF(ISNUMBER($AQ27),1/$AQ27,"")</f>
        <v/>
      </c>
      <c r="AS27" s="3">
        <f>IF(ISNUMBER($AQ27),1/(1-$AQ27),"")</f>
        <v/>
      </c>
      <c r="AT27" s="4">
        <f>IF($AO27="","",IF($AP27="",1/$AO27,(1/$AO27)/((1/$AO27)+(1/$AP27))))</f>
        <v/>
      </c>
      <c r="AU27" s="4">
        <f>IF(OR(NOT(ISNUMBER($AQ27)),$AT27=""),"",$AQ27-$AT27)</f>
        <v/>
      </c>
      <c r="AV27" s="5">
        <f>IF($AU27="","",IF($AU27&gt;=0.05,"OVER",IF($AU27&lt;=-0.05,"UNDER","skip")))</f>
        <v/>
      </c>
      <c r="AW27" s="4">
        <f>IF($AV27="OVER",$AQ27*$AO27-1,IF($AV27="UNDER",IF($AP27="","need under price",(1-$AQ27)*$AP27-1),""))</f>
        <v/>
      </c>
      <c r="AX27" s="5">
        <f>IF(OR($AV27="",$AV27="skip",$AL27="",$AN27=""),"",IF($AV27="OVER",IF($AL27&gt;$AN27,"WON","LOST"),IF($AL27&lt;$AN27,"WON","LOST")))</f>
        <v/>
      </c>
      <c r="AY27" s="7">
        <f>IF($AX27="","",IF($AX27="WON",IF($AV27="OVER",$AO27-1,$AP27-1),-1))</f>
        <v/>
      </c>
      <c r="AZ27" s="8" t="inlineStr">
        <is>
          <t>actual from BBC 2026-09-19 (provisional, ~97% exact vs football-data)</t>
        </is>
      </c>
    </row>
    <row r="28">
      <c r="A28" s="2" t="inlineStr">
        <is>
          <t>2026-09-19</t>
        </is>
      </c>
      <c r="B28" s="2" t="inlineStr">
        <is>
          <t>E2</t>
        </is>
      </c>
      <c r="C28" s="2" t="inlineStr">
        <is>
          <t>League One</t>
        </is>
      </c>
      <c r="D28" s="2" t="inlineStr">
        <is>
          <t>Bromley</t>
        </is>
      </c>
      <c r="E28" s="2" t="inlineStr">
        <is>
          <t>Huddersfield</t>
        </is>
      </c>
      <c r="F28" s="3" t="n">
        <v>3.472222222222222</v>
      </c>
      <c r="G28" s="3" t="n">
        <v>3.670672645270674</v>
      </c>
      <c r="H28" s="4" t="n">
        <v>0.8716504352463195</v>
      </c>
      <c r="I28" s="4" t="n">
        <v>0.6989552980020736</v>
      </c>
      <c r="J28" s="4" t="n">
        <v>0.4945057362121973</v>
      </c>
      <c r="K28" s="4" t="n">
        <v>0.3093315229854059</v>
      </c>
      <c r="L28" s="4" t="n">
        <v>0.1725196566190187</v>
      </c>
      <c r="M28" s="4" t="n">
        <v>0.08666119287865293</v>
      </c>
      <c r="N28" s="3" t="n">
        <v>1.14724889653432</v>
      </c>
      <c r="O28" s="3" t="n">
        <v>1.430706660151868</v>
      </c>
      <c r="P28" s="3" t="n">
        <v>2.022221233791492</v>
      </c>
      <c r="Q28" s="3" t="n">
        <v>3.232777540254698</v>
      </c>
      <c r="R28" s="3" t="n">
        <v>5.796440936630981</v>
      </c>
      <c r="S28" s="3" t="n">
        <v>11.53919034325141</v>
      </c>
      <c r="T28" s="3" t="n">
        <v>7.791222369309391</v>
      </c>
      <c r="U28" s="3" t="n">
        <v>3.321765815386739</v>
      </c>
      <c r="V28" s="3" t="n">
        <v>1.978261815488735</v>
      </c>
      <c r="W28" s="3" t="n">
        <v>1.447872652770382</v>
      </c>
      <c r="X28" s="3" t="n">
        <v>1.208487921192333</v>
      </c>
      <c r="Y28" s="3" t="n">
        <v>1.094883949092003</v>
      </c>
      <c r="Z28" s="4" t="n">
        <v>0.02911005530517304</v>
      </c>
      <c r="AA28" s="4" t="n">
        <v>0.09923950944850743</v>
      </c>
      <c r="AB28" s="4" t="n">
        <v>0.172695137244246</v>
      </c>
      <c r="AC28" s="4" t="n">
        <v>0.2044495617898763</v>
      </c>
      <c r="AD28" s="4" t="n">
        <v>0.1851742132267913</v>
      </c>
      <c r="AE28" s="4" t="n">
        <v>0.1368118663663872</v>
      </c>
      <c r="AF28" s="4" t="n">
        <v>0.08585846374036571</v>
      </c>
      <c r="AG28" s="4" t="n">
        <v>0.04705843135835448</v>
      </c>
      <c r="AH28" s="4" t="n">
        <v>0.02298750192332452</v>
      </c>
      <c r="AI28" s="5" t="inlineStr">
        <is>
          <t>c brook</t>
        </is>
      </c>
      <c r="AJ28" s="3" t="n">
        <v>0.9792</v>
      </c>
      <c r="AK28" s="5" t="n">
        <v>165</v>
      </c>
      <c r="AL28" s="8" t="n">
        <v>4</v>
      </c>
      <c r="AM28" s="8" t="n"/>
      <c r="AN28" s="8" t="n"/>
      <c r="AO28" s="8" t="n"/>
      <c r="AP28" s="8" t="n"/>
      <c r="AQ28" s="4">
        <f>IFERROR(IF($AN28="","",INDEX($H28:$M28,$AN28-0.5)),"line must be 1.5-6.5")</f>
        <v/>
      </c>
      <c r="AR28" s="3">
        <f>IF(ISNUMBER($AQ28),1/$AQ28,"")</f>
        <v/>
      </c>
      <c r="AS28" s="3">
        <f>IF(ISNUMBER($AQ28),1/(1-$AQ28),"")</f>
        <v/>
      </c>
      <c r="AT28" s="4">
        <f>IF($AO28="","",IF($AP28="",1/$AO28,(1/$AO28)/((1/$AO28)+(1/$AP28))))</f>
        <v/>
      </c>
      <c r="AU28" s="4">
        <f>IF(OR(NOT(ISNUMBER($AQ28)),$AT28=""),"",$AQ28-$AT28)</f>
        <v/>
      </c>
      <c r="AV28" s="5">
        <f>IF($AU28="","",IF($AU28&gt;=0.05,"OVER",IF($AU28&lt;=-0.05,"UNDER","skip")))</f>
        <v/>
      </c>
      <c r="AW28" s="4">
        <f>IF($AV28="OVER",$AQ28*$AO28-1,IF($AV28="UNDER",IF($AP28="","need under price",(1-$AQ28)*$AP28-1),""))</f>
        <v/>
      </c>
      <c r="AX28" s="5">
        <f>IF(OR($AV28="",$AV28="skip",$AL28="",$AN28=""),"",IF($AV28="OVER",IF($AL28&gt;$AN28,"WON","LOST"),IF($AL28&lt;$AN28,"WON","LOST")))</f>
        <v/>
      </c>
      <c r="AY28" s="7">
        <f>IF($AX28="","",IF($AX28="WON",IF($AV28="OVER",$AO28-1,$AP28-1),-1))</f>
        <v/>
      </c>
      <c r="AZ28" s="8" t="inlineStr">
        <is>
          <t>actual from BBC 2026-09-19 (provisional, ~97% exact vs football-data)</t>
        </is>
      </c>
    </row>
    <row r="29">
      <c r="A29" s="2" t="inlineStr">
        <is>
          <t>2026-09-19</t>
        </is>
      </c>
      <c r="B29" s="2" t="inlineStr">
        <is>
          <t>E2</t>
        </is>
      </c>
      <c r="C29" s="2" t="inlineStr">
        <is>
          <t>League One</t>
        </is>
      </c>
      <c r="D29" s="2" t="inlineStr">
        <is>
          <t>Leyton Orient</t>
        </is>
      </c>
      <c r="E29" s="2" t="inlineStr">
        <is>
          <t>Stevenage</t>
        </is>
      </c>
      <c r="F29" s="3" t="n">
        <v>3.472222222222222</v>
      </c>
      <c r="G29" s="3" t="n">
        <v>3.362757825276936</v>
      </c>
      <c r="H29" s="4" t="n">
        <v>0.8393745319261409</v>
      </c>
      <c r="I29" s="4" t="n">
        <v>0.643959936367279</v>
      </c>
      <c r="J29" s="4" t="n">
        <v>0.4307454427232437</v>
      </c>
      <c r="K29" s="4" t="n">
        <v>0.2527681085755632</v>
      </c>
      <c r="L29" s="4" t="n">
        <v>0.1315795536825828</v>
      </c>
      <c r="M29" s="4" t="n">
        <v>0.06148656104783745</v>
      </c>
      <c r="N29" s="3" t="n">
        <v>1.191363285356379</v>
      </c>
      <c r="O29" s="3" t="n">
        <v>1.55289163739164</v>
      </c>
      <c r="P29" s="3" t="n">
        <v>2.321556773016181</v>
      </c>
      <c r="Q29" s="3" t="n">
        <v>3.956195287591264</v>
      </c>
      <c r="R29" s="3" t="n">
        <v>7.599964979455392</v>
      </c>
      <c r="S29" s="3" t="n">
        <v>16.26371654160306</v>
      </c>
      <c r="T29" s="3" t="n">
        <v>6.225662791782048</v>
      </c>
      <c r="U29" s="3" t="n">
        <v>2.808672680812591</v>
      </c>
      <c r="V29" s="3" t="n">
        <v>1.756683345292617</v>
      </c>
      <c r="W29" s="3" t="n">
        <v>1.338272645314583</v>
      </c>
      <c r="X29" s="3" t="n">
        <v>1.151515955480497</v>
      </c>
      <c r="Y29" s="3" t="n">
        <v>1.065514843470421</v>
      </c>
      <c r="Z29" s="4" t="n">
        <v>0.03878042996251403</v>
      </c>
      <c r="AA29" s="4" t="n">
        <v>0.1218450381113451</v>
      </c>
      <c r="AB29" s="4" t="n">
        <v>0.1954145955588619</v>
      </c>
      <c r="AC29" s="4" t="n">
        <v>0.2132144936440353</v>
      </c>
      <c r="AD29" s="4" t="n">
        <v>0.1779773341476804</v>
      </c>
      <c r="AE29" s="4" t="n">
        <v>0.1211885548929804</v>
      </c>
      <c r="AF29" s="4" t="n">
        <v>0.07009299263474528</v>
      </c>
      <c r="AG29" s="4" t="n">
        <v>0.03540646637512362</v>
      </c>
      <c r="AH29" s="4" t="n">
        <v>0.01594008261073653</v>
      </c>
      <c r="AI29" s="5" t="inlineStr">
        <is>
          <t>c hicks</t>
        </is>
      </c>
      <c r="AJ29" s="3" t="n">
        <v>0.6048</v>
      </c>
      <c r="AK29" s="5" t="n">
        <v>223</v>
      </c>
      <c r="AL29" s="8" t="n">
        <v>4</v>
      </c>
      <c r="AM29" s="8" t="n"/>
      <c r="AN29" s="8" t="n"/>
      <c r="AO29" s="8" t="n"/>
      <c r="AP29" s="8" t="n"/>
      <c r="AQ29" s="4">
        <f>IFERROR(IF($AN29="","",INDEX($H29:$M29,$AN29-0.5)),"line must be 1.5-6.5")</f>
        <v/>
      </c>
      <c r="AR29" s="3">
        <f>IF(ISNUMBER($AQ29),1/$AQ29,"")</f>
        <v/>
      </c>
      <c r="AS29" s="3">
        <f>IF(ISNUMBER($AQ29),1/(1-$AQ29),"")</f>
        <v/>
      </c>
      <c r="AT29" s="4">
        <f>IF($AO29="","",IF($AP29="",1/$AO29,(1/$AO29)/((1/$AO29)+(1/$AP29))))</f>
        <v/>
      </c>
      <c r="AU29" s="4">
        <f>IF(OR(NOT(ISNUMBER($AQ29)),$AT29=""),"",$AQ29-$AT29)</f>
        <v/>
      </c>
      <c r="AV29" s="5">
        <f>IF($AU29="","",IF($AU29&gt;=0.05,"OVER",IF($AU29&lt;=-0.05,"UNDER","skip")))</f>
        <v/>
      </c>
      <c r="AW29" s="4">
        <f>IF($AV29="OVER",$AQ29*$AO29-1,IF($AV29="UNDER",IF($AP29="","need under price",(1-$AQ29)*$AP29-1),""))</f>
        <v/>
      </c>
      <c r="AX29" s="5">
        <f>IF(OR($AV29="",$AV29="skip",$AL29="",$AN29=""),"",IF($AV29="OVER",IF($AL29&gt;$AN29,"WON","LOST"),IF($AL29&lt;$AN29,"WON","LOST")))</f>
        <v/>
      </c>
      <c r="AY29" s="7">
        <f>IF($AX29="","",IF($AX29="WON",IF($AV29="OVER",$AO29-1,$AP29-1),-1))</f>
        <v/>
      </c>
      <c r="AZ29" s="8" t="inlineStr">
        <is>
          <t>actual from BBC 2026-09-19 (provisional, ~97% exact vs football-data)</t>
        </is>
      </c>
    </row>
    <row r="30">
      <c r="A30" s="2" t="inlineStr">
        <is>
          <t>2026-09-19</t>
        </is>
      </c>
      <c r="B30" s="2" t="inlineStr">
        <is>
          <t>E2</t>
        </is>
      </c>
      <c r="C30" s="2" t="inlineStr">
        <is>
          <t>League One</t>
        </is>
      </c>
      <c r="D30" s="2" t="inlineStr">
        <is>
          <t>Luton</t>
        </is>
      </c>
      <c r="E30" s="2" t="inlineStr">
        <is>
          <t>Bradford</t>
        </is>
      </c>
      <c r="F30" s="3" t="n">
        <v>3.472222222222222</v>
      </c>
      <c r="G30" s="3" t="n">
        <v>4.455724160819061</v>
      </c>
      <c r="H30" s="4" t="n">
        <v>0.9283339886236304</v>
      </c>
      <c r="I30" s="4" t="n">
        <v>0.8085971951451648</v>
      </c>
      <c r="J30" s="4" t="n">
        <v>0.6391096588922296</v>
      </c>
      <c r="K30" s="4" t="n">
        <v>0.4555673636044091</v>
      </c>
      <c r="L30" s="4" t="n">
        <v>0.2934298586207146</v>
      </c>
      <c r="M30" s="4" t="n">
        <v>0.1717701143116812</v>
      </c>
      <c r="N30" s="3" t="n">
        <v>1.077198521496152</v>
      </c>
      <c r="O30" s="3" t="n">
        <v>1.236709706642593</v>
      </c>
      <c r="P30" s="3" t="n">
        <v>1.564676712496104</v>
      </c>
      <c r="Q30" s="3" t="n">
        <v>2.195065054897892</v>
      </c>
      <c r="R30" s="3" t="n">
        <v>3.407969470798107</v>
      </c>
      <c r="S30" s="3" t="n">
        <v>5.82173449675579</v>
      </c>
      <c r="T30" s="3" t="n">
        <v>13.95361595817413</v>
      </c>
      <c r="U30" s="3" t="n">
        <v>5.224583833859832</v>
      </c>
      <c r="V30" s="3" t="n">
        <v>2.770924810374396</v>
      </c>
      <c r="W30" s="3" t="n">
        <v>1.836774530308261</v>
      </c>
      <c r="X30" s="3" t="n">
        <v>1.41528765714316</v>
      </c>
      <c r="Y30" s="3" t="n">
        <v>1.207394247997859</v>
      </c>
      <c r="Z30" s="4" t="n">
        <v>0.01411830012288105</v>
      </c>
      <c r="AA30" s="4" t="n">
        <v>0.05754771125348858</v>
      </c>
      <c r="AB30" s="4" t="n">
        <v>0.1197367934784656</v>
      </c>
      <c r="AC30" s="4" t="n">
        <v>0.1694875362529352</v>
      </c>
      <c r="AD30" s="4" t="n">
        <v>0.1835422952878205</v>
      </c>
      <c r="AE30" s="4" t="n">
        <v>0.1621375049836945</v>
      </c>
      <c r="AF30" s="4" t="n">
        <v>0.1216597443090333</v>
      </c>
      <c r="AG30" s="4" t="n">
        <v>0.07972697751340518</v>
      </c>
      <c r="AH30" s="4" t="n">
        <v>0.04656543883533311</v>
      </c>
      <c r="AI30" s="5" t="inlineStr">
        <is>
          <t>r martin</t>
        </is>
      </c>
      <c r="AJ30" s="3" t="n">
        <v>0.864</v>
      </c>
      <c r="AK30" s="5" t="n">
        <v>22</v>
      </c>
      <c r="AL30" s="8" t="n">
        <v>5</v>
      </c>
      <c r="AM30" s="8" t="n"/>
      <c r="AN30" s="8" t="n"/>
      <c r="AO30" s="8" t="n"/>
      <c r="AP30" s="8" t="n"/>
      <c r="AQ30" s="4">
        <f>IFERROR(IF($AN30="","",INDEX($H30:$M30,$AN30-0.5)),"line must be 1.5-6.5")</f>
        <v/>
      </c>
      <c r="AR30" s="3">
        <f>IF(ISNUMBER($AQ30),1/$AQ30,"")</f>
        <v/>
      </c>
      <c r="AS30" s="3">
        <f>IF(ISNUMBER($AQ30),1/(1-$AQ30),"")</f>
        <v/>
      </c>
      <c r="AT30" s="4">
        <f>IF($AO30="","",IF($AP30="",1/$AO30,(1/$AO30)/((1/$AO30)+(1/$AP30))))</f>
        <v/>
      </c>
      <c r="AU30" s="4">
        <f>IF(OR(NOT(ISNUMBER($AQ30)),$AT30=""),"",$AQ30-$AT30)</f>
        <v/>
      </c>
      <c r="AV30" s="5">
        <f>IF($AU30="","",IF($AU30&gt;=0.05,"OVER",IF($AU30&lt;=-0.05,"UNDER","skip")))</f>
        <v/>
      </c>
      <c r="AW30" s="4">
        <f>IF($AV30="OVER",$AQ30*$AO30-1,IF($AV30="UNDER",IF($AP30="","need under price",(1-$AQ30)*$AP30-1),""))</f>
        <v/>
      </c>
      <c r="AX30" s="5">
        <f>IF(OR($AV30="",$AV30="skip",$AL30="",$AN30=""),"",IF($AV30="OVER",IF($AL30&gt;$AN30,"WON","LOST"),IF($AL30&lt;$AN30,"WON","LOST")))</f>
        <v/>
      </c>
      <c r="AY30" s="7">
        <f>IF($AX30="","",IF($AX30="WON",IF($AV30="OVER",$AO30-1,$AP30-1),-1))</f>
        <v/>
      </c>
      <c r="AZ30" s="8" t="inlineStr">
        <is>
          <t>actual from BBC 2026-09-19 (provisional, ~97% exact vs football-data)</t>
        </is>
      </c>
    </row>
    <row r="31">
      <c r="A31" s="2" t="inlineStr">
        <is>
          <t>2026-09-19</t>
        </is>
      </c>
      <c r="B31" s="2" t="inlineStr">
        <is>
          <t>E2</t>
        </is>
      </c>
      <c r="C31" s="2" t="inlineStr">
        <is>
          <t>League One</t>
        </is>
      </c>
      <c r="D31" s="2" t="inlineStr">
        <is>
          <t>Oxford</t>
        </is>
      </c>
      <c r="E31" s="2" t="inlineStr">
        <is>
          <t>Cambridge</t>
        </is>
      </c>
      <c r="F31" s="3" t="n">
        <v>3.472222222222222</v>
      </c>
      <c r="G31" s="3" t="n">
        <v>3.332354632146815</v>
      </c>
      <c r="H31" s="4" t="n">
        <v>0.8358044633597582</v>
      </c>
      <c r="I31" s="4" t="n">
        <v>0.6381418214791166</v>
      </c>
      <c r="J31" s="4" t="n">
        <v>0.4242974229211572</v>
      </c>
      <c r="K31" s="4" t="n">
        <v>0.2473030697507144</v>
      </c>
      <c r="L31" s="4" t="n">
        <v>0.1278025268701712</v>
      </c>
      <c r="M31" s="4" t="n">
        <v>0.05927004937798164</v>
      </c>
      <c r="N31" s="3" t="n">
        <v>1.196452093567687</v>
      </c>
      <c r="O31" s="3" t="n">
        <v>1.567049778499316</v>
      </c>
      <c r="P31" s="3" t="n">
        <v>2.356837317359383</v>
      </c>
      <c r="Q31" s="3" t="n">
        <v>4.04362146012994</v>
      </c>
      <c r="R31" s="3" t="n">
        <v>7.824571426634267</v>
      </c>
      <c r="S31" s="3" t="n">
        <v>16.87192790447535</v>
      </c>
      <c r="T31" s="3" t="n">
        <v>6.090299532264603</v>
      </c>
      <c r="U31" s="3" t="n">
        <v>2.763513606594602</v>
      </c>
      <c r="V31" s="3" t="n">
        <v>1.737008031254738</v>
      </c>
      <c r="W31" s="3" t="n">
        <v>1.328555969623538</v>
      </c>
      <c r="X31" s="3" t="n">
        <v>1.146529347776667</v>
      </c>
      <c r="Y31" s="3" t="n">
        <v>1.063004318443132</v>
      </c>
      <c r="Z31" s="4" t="n">
        <v>0.03989818147892903</v>
      </c>
      <c r="AA31" s="4" t="n">
        <v>0.1242973551613127</v>
      </c>
      <c r="AB31" s="4" t="n">
        <v>0.1976626418806417</v>
      </c>
      <c r="AC31" s="4" t="n">
        <v>0.2138443985579593</v>
      </c>
      <c r="AD31" s="4" t="n">
        <v>0.1769943531704428</v>
      </c>
      <c r="AE31" s="4" t="n">
        <v>0.1195005428805431</v>
      </c>
      <c r="AF31" s="4" t="n">
        <v>0.06853247749218966</v>
      </c>
      <c r="AG31" s="4" t="n">
        <v>0.03432558701660816</v>
      </c>
      <c r="AH31" s="4" t="n">
        <v>0.0153228486971926</v>
      </c>
      <c r="AI31" s="5" t="inlineStr">
        <is>
          <t>t kirk</t>
        </is>
      </c>
      <c r="AJ31" s="3" t="n">
        <v>0.9503999999999999</v>
      </c>
      <c r="AK31" s="5" t="n">
        <v>113</v>
      </c>
      <c r="AL31" s="8" t="n">
        <v>6</v>
      </c>
      <c r="AM31" s="8" t="n"/>
      <c r="AN31" s="8" t="n"/>
      <c r="AO31" s="8" t="n"/>
      <c r="AP31" s="8" t="n"/>
      <c r="AQ31" s="4">
        <f>IFERROR(IF($AN31="","",INDEX($H31:$M31,$AN31-0.5)),"line must be 1.5-6.5")</f>
        <v/>
      </c>
      <c r="AR31" s="3">
        <f>IF(ISNUMBER($AQ31),1/$AQ31,"")</f>
        <v/>
      </c>
      <c r="AS31" s="3">
        <f>IF(ISNUMBER($AQ31),1/(1-$AQ31),"")</f>
        <v/>
      </c>
      <c r="AT31" s="4">
        <f>IF($AO31="","",IF($AP31="",1/$AO31,(1/$AO31)/((1/$AO31)+(1/$AP31))))</f>
        <v/>
      </c>
      <c r="AU31" s="4">
        <f>IF(OR(NOT(ISNUMBER($AQ31)),$AT31=""),"",$AQ31-$AT31)</f>
        <v/>
      </c>
      <c r="AV31" s="5">
        <f>IF($AU31="","",IF($AU31&gt;=0.05,"OVER",IF($AU31&lt;=-0.05,"UNDER","skip")))</f>
        <v/>
      </c>
      <c r="AW31" s="4">
        <f>IF($AV31="OVER",$AQ31*$AO31-1,IF($AV31="UNDER",IF($AP31="","need under price",(1-$AQ31)*$AP31-1),""))</f>
        <v/>
      </c>
      <c r="AX31" s="5">
        <f>IF(OR($AV31="",$AV31="skip",$AL31="",$AN31=""),"",IF($AV31="OVER",IF($AL31&gt;$AN31,"WON","LOST"),IF($AL31&lt;$AN31,"WON","LOST")))</f>
        <v/>
      </c>
      <c r="AY31" s="7">
        <f>IF($AX31="","",IF($AX31="WON",IF($AV31="OVER",$AO31-1,$AP31-1),-1))</f>
        <v/>
      </c>
      <c r="AZ31" s="8" t="inlineStr">
        <is>
          <t>actual from BBC 2026-09-19 (provisional, ~97% exact vs football-data)</t>
        </is>
      </c>
    </row>
    <row r="32">
      <c r="A32" s="2" t="inlineStr">
        <is>
          <t>2026-09-19</t>
        </is>
      </c>
      <c r="B32" s="2" t="inlineStr">
        <is>
          <t>E2</t>
        </is>
      </c>
      <c r="C32" s="2" t="inlineStr">
        <is>
          <t>League One</t>
        </is>
      </c>
      <c r="D32" s="2" t="inlineStr">
        <is>
          <t>Peterboro</t>
        </is>
      </c>
      <c r="E32" s="2" t="inlineStr">
        <is>
          <t>Doncaster</t>
        </is>
      </c>
      <c r="F32" s="3" t="n">
        <v>3.472222222222222</v>
      </c>
      <c r="G32" s="3" t="n">
        <v>3.250987653280108</v>
      </c>
      <c r="H32" s="4" t="n">
        <v>0.8258829617898286</v>
      </c>
      <c r="I32" s="4" t="n">
        <v>0.6222268618371265</v>
      </c>
      <c r="J32" s="4" t="n">
        <v>0.4069358621986187</v>
      </c>
      <c r="K32" s="4" t="n">
        <v>0.2328183013218768</v>
      </c>
      <c r="L32" s="4" t="n">
        <v>0.1179478809070459</v>
      </c>
      <c r="M32" s="4" t="n">
        <v>0.05357692879427667</v>
      </c>
      <c r="N32" s="3" t="n">
        <v>1.210825318193791</v>
      </c>
      <c r="O32" s="3" t="n">
        <v>1.607130873533003</v>
      </c>
      <c r="P32" s="3" t="n">
        <v>2.457389709024752</v>
      </c>
      <c r="Q32" s="3" t="n">
        <v>4.295194983909261</v>
      </c>
      <c r="R32" s="3" t="n">
        <v>8.478321037307104</v>
      </c>
      <c r="S32" s="3" t="n">
        <v>18.66475034132275</v>
      </c>
      <c r="T32" s="3" t="n">
        <v>5.743263326090639</v>
      </c>
      <c r="U32" s="3" t="n">
        <v>2.647091333341067</v>
      </c>
      <c r="V32" s="3" t="n">
        <v>1.686158268998053</v>
      </c>
      <c r="W32" s="3" t="n">
        <v>1.303472178394023</v>
      </c>
      <c r="X32" s="3" t="n">
        <v>1.133719854364542</v>
      </c>
      <c r="Y32" s="3" t="n">
        <v>1.056609914132821</v>
      </c>
      <c r="Z32" s="4" t="n">
        <v>0.04305420670870629</v>
      </c>
      <c r="AA32" s="4" t="n">
        <v>0.1310628315014652</v>
      </c>
      <c r="AB32" s="4" t="n">
        <v>0.2036560999527021</v>
      </c>
      <c r="AC32" s="4" t="n">
        <v>0.2152909996385078</v>
      </c>
      <c r="AD32" s="4" t="n">
        <v>0.174117560876742</v>
      </c>
      <c r="AE32" s="4" t="n">
        <v>0.1148704204148308</v>
      </c>
      <c r="AF32" s="4" t="n">
        <v>0.06437095211276919</v>
      </c>
      <c r="AG32" s="4" t="n">
        <v>0.03150406843331964</v>
      </c>
      <c r="AH32" s="4" t="n">
        <v>0.01374179137239604</v>
      </c>
      <c r="AI32" s="5" t="inlineStr">
        <is>
          <t>w davis</t>
        </is>
      </c>
      <c r="AJ32" s="3" t="n">
        <v>0.8351999999999999</v>
      </c>
      <c r="AK32" s="5" t="n">
        <v>10</v>
      </c>
      <c r="AL32" s="8" t="n">
        <v>3</v>
      </c>
      <c r="AM32" s="8" t="n"/>
      <c r="AN32" s="8" t="n"/>
      <c r="AO32" s="8" t="n"/>
      <c r="AP32" s="8" t="n"/>
      <c r="AQ32" s="4">
        <f>IFERROR(IF($AN32="","",INDEX($H32:$M32,$AN32-0.5)),"line must be 1.5-6.5")</f>
        <v/>
      </c>
      <c r="AR32" s="3">
        <f>IF(ISNUMBER($AQ32),1/$AQ32,"")</f>
        <v/>
      </c>
      <c r="AS32" s="3">
        <f>IF(ISNUMBER($AQ32),1/(1-$AQ32),"")</f>
        <v/>
      </c>
      <c r="AT32" s="4">
        <f>IF($AO32="","",IF($AP32="",1/$AO32,(1/$AO32)/((1/$AO32)+(1/$AP32))))</f>
        <v/>
      </c>
      <c r="AU32" s="4">
        <f>IF(OR(NOT(ISNUMBER($AQ32)),$AT32=""),"",$AQ32-$AT32)</f>
        <v/>
      </c>
      <c r="AV32" s="5">
        <f>IF($AU32="","",IF($AU32&gt;=0.05,"OVER",IF($AU32&lt;=-0.05,"UNDER","skip")))</f>
        <v/>
      </c>
      <c r="AW32" s="4">
        <f>IF($AV32="OVER",$AQ32*$AO32-1,IF($AV32="UNDER",IF($AP32="","need under price",(1-$AQ32)*$AP32-1),""))</f>
        <v/>
      </c>
      <c r="AX32" s="5">
        <f>IF(OR($AV32="",$AV32="skip",$AL32="",$AN32=""),"",IF($AV32="OVER",IF($AL32&gt;$AN32,"WON","LOST"),IF($AL32&lt;$AN32,"WON","LOST")))</f>
        <v/>
      </c>
      <c r="AY32" s="7">
        <f>IF($AX32="","",IF($AX32="WON",IF($AV32="OVER",$AO32-1,$AP32-1),-1))</f>
        <v/>
      </c>
      <c r="AZ32" s="8" t="inlineStr">
        <is>
          <t>actual from BBC 2026-09-19 (provisional, ~97% exact vs football-data)</t>
        </is>
      </c>
    </row>
    <row r="33">
      <c r="A33" s="2" t="inlineStr">
        <is>
          <t>2026-09-19</t>
        </is>
      </c>
      <c r="B33" s="2" t="inlineStr">
        <is>
          <t>E2</t>
        </is>
      </c>
      <c r="C33" s="2" t="inlineStr">
        <is>
          <t>League One</t>
        </is>
      </c>
      <c r="D33" s="2" t="inlineStr">
        <is>
          <t>Reading</t>
        </is>
      </c>
      <c r="E33" s="2" t="inlineStr">
        <is>
          <t>Notts County</t>
        </is>
      </c>
      <c r="F33" s="3" t="n">
        <v>3.472222222222222</v>
      </c>
      <c r="G33" s="3" t="n">
        <v>3.792177649991823</v>
      </c>
      <c r="H33" s="4" t="n">
        <v>0.8826124421768404</v>
      </c>
      <c r="I33" s="4" t="n">
        <v>0.7187163134822752</v>
      </c>
      <c r="J33" s="4" t="n">
        <v>0.5187325998465157</v>
      </c>
      <c r="K33" s="4" t="n">
        <v>0.3320478633614056</v>
      </c>
      <c r="L33" s="4" t="n">
        <v>0.1898896591368003</v>
      </c>
      <c r="M33" s="4" t="n">
        <v>0.09793978632859501</v>
      </c>
      <c r="N33" s="3" t="n">
        <v>1.133000116714466</v>
      </c>
      <c r="O33" s="3" t="n">
        <v>1.391369558810859</v>
      </c>
      <c r="P33" s="3" t="n">
        <v>1.927775505715051</v>
      </c>
      <c r="Q33" s="3" t="n">
        <v>3.011614018162152</v>
      </c>
      <c r="R33" s="3" t="n">
        <v>5.266216204430489</v>
      </c>
      <c r="S33" s="3" t="n">
        <v>10.21035513233537</v>
      </c>
      <c r="T33" s="3" t="n">
        <v>8.518790394348834</v>
      </c>
      <c r="U33" s="3" t="n">
        <v>3.555129742431707</v>
      </c>
      <c r="V33" s="3" t="n">
        <v>2.077846950948855</v>
      </c>
      <c r="W33" s="3" t="n">
        <v>1.497113258791872</v>
      </c>
      <c r="X33" s="3" t="n">
        <v>1.234399747242415</v>
      </c>
      <c r="Y33" s="3" t="n">
        <v>1.108573446477567</v>
      </c>
      <c r="Z33" s="4" t="n">
        <v>0.02600709839099751</v>
      </c>
      <c r="AA33" s="4" t="n">
        <v>0.09138045943216204</v>
      </c>
      <c r="AB33" s="4" t="n">
        <v>0.1638961286945652</v>
      </c>
      <c r="AC33" s="4" t="n">
        <v>0.1999837136357595</v>
      </c>
      <c r="AD33" s="4" t="n">
        <v>0.1866847364851101</v>
      </c>
      <c r="AE33" s="4" t="n">
        <v>0.1421582042246052</v>
      </c>
      <c r="AF33" s="4" t="n">
        <v>0.09194987280820531</v>
      </c>
      <c r="AG33" s="4" t="n">
        <v>0.05194279607769216</v>
      </c>
      <c r="AH33" s="4" t="n">
        <v>0.02615167524098988</v>
      </c>
      <c r="AI33" s="5" t="inlineStr">
        <is>
          <t>s mather</t>
        </is>
      </c>
      <c r="AJ33" s="3" t="n">
        <v>0.9503999999999999</v>
      </c>
      <c r="AK33" s="5" t="n">
        <v>149</v>
      </c>
      <c r="AL33" s="8" t="n">
        <v>3</v>
      </c>
      <c r="AM33" s="8" t="n"/>
      <c r="AN33" s="8" t="n"/>
      <c r="AO33" s="8" t="n"/>
      <c r="AP33" s="8" t="n"/>
      <c r="AQ33" s="4">
        <f>IFERROR(IF($AN33="","",INDEX($H33:$M33,$AN33-0.5)),"line must be 1.5-6.5")</f>
        <v/>
      </c>
      <c r="AR33" s="3">
        <f>IF(ISNUMBER($AQ33),1/$AQ33,"")</f>
        <v/>
      </c>
      <c r="AS33" s="3">
        <f>IF(ISNUMBER($AQ33),1/(1-$AQ33),"")</f>
        <v/>
      </c>
      <c r="AT33" s="4">
        <f>IF($AO33="","",IF($AP33="",1/$AO33,(1/$AO33)/((1/$AO33)+(1/$AP33))))</f>
        <v/>
      </c>
      <c r="AU33" s="4">
        <f>IF(OR(NOT(ISNUMBER($AQ33)),$AT33=""),"",$AQ33-$AT33)</f>
        <v/>
      </c>
      <c r="AV33" s="5">
        <f>IF($AU33="","",IF($AU33&gt;=0.05,"OVER",IF($AU33&lt;=-0.05,"UNDER","skip")))</f>
        <v/>
      </c>
      <c r="AW33" s="4">
        <f>IF($AV33="OVER",$AQ33*$AO33-1,IF($AV33="UNDER",IF($AP33="","need under price",(1-$AQ33)*$AP33-1),""))</f>
        <v/>
      </c>
      <c r="AX33" s="5">
        <f>IF(OR($AV33="",$AV33="skip",$AL33="",$AN33=""),"",IF($AV33="OVER",IF($AL33&gt;$AN33,"WON","LOST"),IF($AL33&lt;$AN33,"WON","LOST")))</f>
        <v/>
      </c>
      <c r="AY33" s="7">
        <f>IF($AX33="","",IF($AX33="WON",IF($AV33="OVER",$AO33-1,$AP33-1),-1))</f>
        <v/>
      </c>
      <c r="AZ33" s="8" t="inlineStr">
        <is>
          <t>actual from BBC 2026-09-19 (provisional, ~97% exact vs football-data)</t>
        </is>
      </c>
    </row>
    <row r="34">
      <c r="A34" s="2" t="inlineStr">
        <is>
          <t>2026-09-19</t>
        </is>
      </c>
      <c r="B34" s="2" t="inlineStr">
        <is>
          <t>E2</t>
        </is>
      </c>
      <c r="C34" s="2" t="inlineStr">
        <is>
          <t>League One</t>
        </is>
      </c>
      <c r="D34" s="2" t="inlineStr">
        <is>
          <t>Sheffield Weds</t>
        </is>
      </c>
      <c r="E34" s="2" t="inlineStr">
        <is>
          <t>Stockport</t>
        </is>
      </c>
      <c r="F34" s="3" t="n">
        <v>3.472222222222222</v>
      </c>
      <c r="G34" s="3" t="n">
        <v>3.507654250479039</v>
      </c>
      <c r="H34" s="4" t="n">
        <v>0.8554126175178904</v>
      </c>
      <c r="I34" s="4" t="n">
        <v>0.6707270873833582</v>
      </c>
      <c r="J34" s="4" t="n">
        <v>0.4611293453104485</v>
      </c>
      <c r="K34" s="4" t="n">
        <v>0.2791472847686864</v>
      </c>
      <c r="L34" s="4" t="n">
        <v>0.1502572051872539</v>
      </c>
      <c r="M34" s="4" t="n">
        <v>0.07271708104085717</v>
      </c>
      <c r="N34" s="3" t="n">
        <v>1.169026478591877</v>
      </c>
      <c r="O34" s="3" t="n">
        <v>1.490919360214304</v>
      </c>
      <c r="P34" s="3" t="n">
        <v>2.168588944012585</v>
      </c>
      <c r="Q34" s="3" t="n">
        <v>3.582338265724646</v>
      </c>
      <c r="R34" s="3" t="n">
        <v>6.655254892793842</v>
      </c>
      <c r="S34" s="3" t="n">
        <v>13.75192713577344</v>
      </c>
      <c r="T34" s="3" t="n">
        <v>6.916232819442143</v>
      </c>
      <c r="U34" s="3" t="n">
        <v>3.03699442524219</v>
      </c>
      <c r="V34" s="3" t="n">
        <v>1.855732894893134</v>
      </c>
      <c r="W34" s="3" t="n">
        <v>1.387245936472767</v>
      </c>
      <c r="X34" s="3" t="n">
        <v>1.176826689328228</v>
      </c>
      <c r="Y34" s="3" t="n">
        <v>1.078419519603015</v>
      </c>
      <c r="Z34" s="4" t="n">
        <v>0.03387665205363583</v>
      </c>
      <c r="AA34" s="4" t="n">
        <v>0.1107107304284737</v>
      </c>
      <c r="AB34" s="4" t="n">
        <v>0.1846855301345322</v>
      </c>
      <c r="AC34" s="4" t="n">
        <v>0.2095977420729098</v>
      </c>
      <c r="AD34" s="4" t="n">
        <v>0.1819820605417621</v>
      </c>
      <c r="AE34" s="4" t="n">
        <v>0.1288900795814325</v>
      </c>
      <c r="AF34" s="4" t="n">
        <v>0.07754012414639676</v>
      </c>
      <c r="AG34" s="4" t="n">
        <v>0.04074069929668551</v>
      </c>
      <c r="AH34" s="4" t="n">
        <v>0.01907789550529377</v>
      </c>
      <c r="AI34" s="5" t="inlineStr">
        <is>
          <t>b toner</t>
        </is>
      </c>
      <c r="AJ34" s="3" t="n">
        <v>1.152</v>
      </c>
      <c r="AK34" s="5" t="n">
        <v>310</v>
      </c>
      <c r="AL34" s="8" t="n">
        <v>4</v>
      </c>
      <c r="AM34" s="8" t="n"/>
      <c r="AN34" s="8" t="n"/>
      <c r="AO34" s="8" t="n"/>
      <c r="AP34" s="8" t="n"/>
      <c r="AQ34" s="4">
        <f>IFERROR(IF($AN34="","",INDEX($H34:$M34,$AN34-0.5)),"line must be 1.5-6.5")</f>
        <v/>
      </c>
      <c r="AR34" s="3">
        <f>IF(ISNUMBER($AQ34),1/$AQ34,"")</f>
        <v/>
      </c>
      <c r="AS34" s="3">
        <f>IF(ISNUMBER($AQ34),1/(1-$AQ34),"")</f>
        <v/>
      </c>
      <c r="AT34" s="4">
        <f>IF($AO34="","",IF($AP34="",1/$AO34,(1/$AO34)/((1/$AO34)+(1/$AP34))))</f>
        <v/>
      </c>
      <c r="AU34" s="4">
        <f>IF(OR(NOT(ISNUMBER($AQ34)),$AT34=""),"",$AQ34-$AT34)</f>
        <v/>
      </c>
      <c r="AV34" s="5">
        <f>IF($AU34="","",IF($AU34&gt;=0.05,"OVER",IF($AU34&lt;=-0.05,"UNDER","skip")))</f>
        <v/>
      </c>
      <c r="AW34" s="4">
        <f>IF($AV34="OVER",$AQ34*$AO34-1,IF($AV34="UNDER",IF($AP34="","need under price",(1-$AQ34)*$AP34-1),""))</f>
        <v/>
      </c>
      <c r="AX34" s="5">
        <f>IF(OR($AV34="",$AV34="skip",$AL34="",$AN34=""),"",IF($AV34="OVER",IF($AL34&gt;$AN34,"WON","LOST"),IF($AL34&lt;$AN34,"WON","LOST")))</f>
        <v/>
      </c>
      <c r="AY34" s="7">
        <f>IF($AX34="","",IF($AX34="WON",IF($AV34="OVER",$AO34-1,$AP34-1),-1))</f>
        <v/>
      </c>
      <c r="AZ34" s="8" t="inlineStr">
        <is>
          <t>actual from BBC 2026-09-19 (provisional, ~97% exact vs football-data)</t>
        </is>
      </c>
    </row>
    <row r="35">
      <c r="A35" s="2" t="inlineStr">
        <is>
          <t>2026-09-19</t>
        </is>
      </c>
      <c r="B35" s="2" t="inlineStr">
        <is>
          <t>E2</t>
        </is>
      </c>
      <c r="C35" s="2" t="inlineStr">
        <is>
          <t>League One</t>
        </is>
      </c>
      <c r="D35" s="2" t="inlineStr">
        <is>
          <t>Wigan</t>
        </is>
      </c>
      <c r="E35" s="2" t="inlineStr">
        <is>
          <t>Wycombe</t>
        </is>
      </c>
      <c r="F35" s="3" t="n">
        <v>3.472222222222222</v>
      </c>
      <c r="G35" s="3" t="n">
        <v>3.451351811072937</v>
      </c>
      <c r="H35" s="4" t="n">
        <v>0.8493680236319592</v>
      </c>
      <c r="I35" s="4" t="n">
        <v>0.6605146573681239</v>
      </c>
      <c r="J35" s="4" t="n">
        <v>0.4493956442256313</v>
      </c>
      <c r="K35" s="4" t="n">
        <v>0.2688370300706466</v>
      </c>
      <c r="L35" s="4" t="n">
        <v>0.1428696740980642</v>
      </c>
      <c r="M35" s="4" t="n">
        <v>0.06822240894303067</v>
      </c>
      <c r="N35" s="3" t="n">
        <v>1.177345946841662</v>
      </c>
      <c r="O35" s="3" t="n">
        <v>1.513970944997018</v>
      </c>
      <c r="P35" s="3" t="n">
        <v>2.225210708757833</v>
      </c>
      <c r="Q35" s="3" t="n">
        <v>3.719725663303206</v>
      </c>
      <c r="R35" s="3" t="n">
        <v>6.999386023052107</v>
      </c>
      <c r="S35" s="3" t="n">
        <v>14.65794033797682</v>
      </c>
      <c r="T35" s="3" t="n">
        <v>6.638696670597275</v>
      </c>
      <c r="U35" s="3" t="n">
        <v>2.945635273226976</v>
      </c>
      <c r="V35" s="3" t="n">
        <v>1.816186140760914</v>
      </c>
      <c r="W35" s="3" t="n">
        <v>1.367684143107825</v>
      </c>
      <c r="X35" s="3" t="n">
        <v>1.166683723327285</v>
      </c>
      <c r="Y35" s="3" t="n">
        <v>1.073217481937553</v>
      </c>
      <c r="Z35" s="4" t="n">
        <v>0.03570216633477536</v>
      </c>
      <c r="AA35" s="4" t="n">
        <v>0.1149298100332654</v>
      </c>
      <c r="AB35" s="4" t="n">
        <v>0.1888533662638353</v>
      </c>
      <c r="AC35" s="4" t="n">
        <v>0.2111190131424926</v>
      </c>
      <c r="AD35" s="4" t="n">
        <v>0.1805586141549846</v>
      </c>
      <c r="AE35" s="4" t="n">
        <v>0.1259673559725825</v>
      </c>
      <c r="AF35" s="4" t="n">
        <v>0.07464726515503353</v>
      </c>
      <c r="AG35" s="4" t="n">
        <v>0.03863356412110138</v>
      </c>
      <c r="AH35" s="4" t="n">
        <v>0.01782032619569144</v>
      </c>
      <c r="AI35" s="5" t="inlineStr">
        <is>
          <t>d whitestone</t>
        </is>
      </c>
      <c r="AJ35" s="3" t="n">
        <v>0.864</v>
      </c>
      <c r="AK35" s="5" t="n">
        <v>580</v>
      </c>
      <c r="AL35" s="8" t="n">
        <v>7</v>
      </c>
      <c r="AM35" s="8" t="n"/>
      <c r="AN35" s="8" t="n"/>
      <c r="AO35" s="8" t="n"/>
      <c r="AP35" s="8" t="n"/>
      <c r="AQ35" s="4">
        <f>IFERROR(IF($AN35="","",INDEX($H35:$M35,$AN35-0.5)),"line must be 1.5-6.5")</f>
        <v/>
      </c>
      <c r="AR35" s="3">
        <f>IF(ISNUMBER($AQ35),1/$AQ35,"")</f>
        <v/>
      </c>
      <c r="AS35" s="3">
        <f>IF(ISNUMBER($AQ35),1/(1-$AQ35),"")</f>
        <v/>
      </c>
      <c r="AT35" s="4">
        <f>IF($AO35="","",IF($AP35="",1/$AO35,(1/$AO35)/((1/$AO35)+(1/$AP35))))</f>
        <v/>
      </c>
      <c r="AU35" s="4">
        <f>IF(OR(NOT(ISNUMBER($AQ35)),$AT35=""),"",$AQ35-$AT35)</f>
        <v/>
      </c>
      <c r="AV35" s="5">
        <f>IF($AU35="","",IF($AU35&gt;=0.05,"OVER",IF($AU35&lt;=-0.05,"UNDER","skip")))</f>
        <v/>
      </c>
      <c r="AW35" s="4">
        <f>IF($AV35="OVER",$AQ35*$AO35-1,IF($AV35="UNDER",IF($AP35="","need under price",(1-$AQ35)*$AP35-1),""))</f>
        <v/>
      </c>
      <c r="AX35" s="5">
        <f>IF(OR($AV35="",$AV35="skip",$AL35="",$AN35=""),"",IF($AV35="OVER",IF($AL35&gt;$AN35,"WON","LOST"),IF($AL35&lt;$AN35,"WON","LOST")))</f>
        <v/>
      </c>
      <c r="AY35" s="7">
        <f>IF($AX35="","",IF($AX35="WON",IF($AV35="OVER",$AO35-1,$AP35-1),-1))</f>
        <v/>
      </c>
      <c r="AZ35" s="8" t="inlineStr">
        <is>
          <t>actual from BBC 2026-09-19 (provisional, ~97% exact vs football-data)</t>
        </is>
      </c>
    </row>
    <row r="36">
      <c r="A36" s="2" t="inlineStr">
        <is>
          <t>2026-09-19</t>
        </is>
      </c>
      <c r="B36" s="2" t="inlineStr">
        <is>
          <t>E3</t>
        </is>
      </c>
      <c r="C36" s="2" t="inlineStr">
        <is>
          <t>League Two</t>
        </is>
      </c>
      <c r="D36" s="2" t="inlineStr">
        <is>
          <t>Rochdale</t>
        </is>
      </c>
      <c r="E36" s="2" t="inlineStr">
        <is>
          <t>Oldham</t>
        </is>
      </c>
      <c r="F36" s="3" t="n">
        <v>3.944444444444445</v>
      </c>
      <c r="G36" s="3" t="n">
        <v>3.703151836695953</v>
      </c>
      <c r="H36" s="4" t="n">
        <v>0.8746722792841491</v>
      </c>
      <c r="I36" s="4" t="n">
        <v>0.7043434862203317</v>
      </c>
      <c r="J36" s="4" t="n">
        <v>0.5010393222937359</v>
      </c>
      <c r="K36" s="4" t="n">
        <v>0.3153902740596584</v>
      </c>
      <c r="L36" s="4" t="n">
        <v>0.1771011212972078</v>
      </c>
      <c r="M36" s="4" t="n">
        <v>0.08960282613773241</v>
      </c>
      <c r="N36" s="3" t="n">
        <v>1.143285346619676</v>
      </c>
      <c r="O36" s="3" t="n">
        <v>1.419761834337716</v>
      </c>
      <c r="P36" s="3" t="n">
        <v>1.995851334426296</v>
      </c>
      <c r="Q36" s="3" t="n">
        <v>3.170674818624378</v>
      </c>
      <c r="R36" s="3" t="n">
        <v>5.646491635260845</v>
      </c>
      <c r="S36" s="3" t="n">
        <v>11.16036226873979</v>
      </c>
      <c r="T36" s="3" t="n">
        <v>7.979080719637828</v>
      </c>
      <c r="U36" s="3" t="n">
        <v>3.382303292479559</v>
      </c>
      <c r="V36" s="3" t="n">
        <v>2.004165948701664</v>
      </c>
      <c r="W36" s="3" t="n">
        <v>1.46068623057678</v>
      </c>
      <c r="X36" s="3" t="n">
        <v>1.215216141230363</v>
      </c>
      <c r="Y36" s="3" t="n">
        <v>1.098421687490089</v>
      </c>
      <c r="Z36" s="4" t="n">
        <v>0.02824533512648775</v>
      </c>
      <c r="AA36" s="4" t="n">
        <v>0.09708238558936309</v>
      </c>
      <c r="AB36" s="4" t="n">
        <v>0.1703287930638174</v>
      </c>
      <c r="AC36" s="4" t="n">
        <v>0.2033041639265959</v>
      </c>
      <c r="AD36" s="4" t="n">
        <v>0.1856490482340776</v>
      </c>
      <c r="AE36" s="4" t="n">
        <v>0.1382891527624505</v>
      </c>
      <c r="AF36" s="4" t="n">
        <v>0.08749829515947544</v>
      </c>
      <c r="AG36" s="4" t="n">
        <v>0.0483510660083003</v>
      </c>
      <c r="AH36" s="4" t="n">
        <v>0.02381291244478428</v>
      </c>
      <c r="AI36" s="5" t="inlineStr">
        <is>
          <t>s parkinson</t>
        </is>
      </c>
      <c r="AJ36" s="3" t="n">
        <v>0.836619718309859</v>
      </c>
      <c r="AK36" s="5" t="n">
        <v>41</v>
      </c>
      <c r="AL36" s="8" t="n">
        <v>0</v>
      </c>
      <c r="AM36" s="8" t="n"/>
      <c r="AN36" s="8" t="n"/>
      <c r="AO36" s="8" t="n"/>
      <c r="AP36" s="8" t="n"/>
      <c r="AQ36" s="4">
        <f>IFERROR(IF($AN36="","",INDEX($H36:$M36,$AN36-0.5)),"line must be 1.5-6.5")</f>
        <v/>
      </c>
      <c r="AR36" s="3">
        <f>IF(ISNUMBER($AQ36),1/$AQ36,"")</f>
        <v/>
      </c>
      <c r="AS36" s="3">
        <f>IF(ISNUMBER($AQ36),1/(1-$AQ36),"")</f>
        <v/>
      </c>
      <c r="AT36" s="4">
        <f>IF($AO36="","",IF($AP36="",1/$AO36,(1/$AO36)/((1/$AO36)+(1/$AP36))))</f>
        <v/>
      </c>
      <c r="AU36" s="4">
        <f>IF(OR(NOT(ISNUMBER($AQ36)),$AT36=""),"",$AQ36-$AT36)</f>
        <v/>
      </c>
      <c r="AV36" s="5">
        <f>IF($AU36="","",IF($AU36&gt;=0.05,"OVER",IF($AU36&lt;=-0.05,"UNDER","skip")))</f>
        <v/>
      </c>
      <c r="AW36" s="4">
        <f>IF($AV36="OVER",$AQ36*$AO36-1,IF($AV36="UNDER",IF($AP36="","need under price",(1-$AQ36)*$AP36-1),""))</f>
        <v/>
      </c>
      <c r="AX36" s="5">
        <f>IF(OR($AV36="",$AV36="skip",$AL36="",$AN36=""),"",IF($AV36="OVER",IF($AL36&gt;$AN36,"WON","LOST"),IF($AL36&lt;$AN36,"WON","LOST")))</f>
        <v/>
      </c>
      <c r="AY36" s="7">
        <f>IF($AX36="","",IF($AX36="WON",IF($AV36="OVER",$AO36-1,$AP36-1),-1))</f>
        <v/>
      </c>
      <c r="AZ36" s="8" t="inlineStr">
        <is>
          <t>actual from BBC 2026-09-19 (provisional, ~97% exact vs football-data)</t>
        </is>
      </c>
    </row>
    <row r="37">
      <c r="A37" s="2" t="inlineStr">
        <is>
          <t>2026-09-19</t>
        </is>
      </c>
      <c r="B37" s="2" t="inlineStr">
        <is>
          <t>E3</t>
        </is>
      </c>
      <c r="C37" s="2" t="inlineStr">
        <is>
          <t>League Two</t>
        </is>
      </c>
      <c r="D37" s="2" t="inlineStr">
        <is>
          <t>Walsall</t>
        </is>
      </c>
      <c r="E37" s="2" t="inlineStr">
        <is>
          <t>Port Vale</t>
        </is>
      </c>
      <c r="F37" s="3" t="n">
        <v>3.944444444444445</v>
      </c>
      <c r="G37" s="3" t="n">
        <v>3.676098094040241</v>
      </c>
      <c r="H37" s="4" t="n">
        <v>0.8721599787838824</v>
      </c>
      <c r="I37" s="4" t="n">
        <v>0.6998607728827434</v>
      </c>
      <c r="J37" s="4" t="n">
        <v>0.495599962918486</v>
      </c>
      <c r="K37" s="4" t="n">
        <v>0.3103427728896075</v>
      </c>
      <c r="L37" s="4" t="n">
        <v>0.1732817304777359</v>
      </c>
      <c r="M37" s="4" t="n">
        <v>0.08714882941062996</v>
      </c>
      <c r="N37" s="3" t="n">
        <v>1.146578637321073</v>
      </c>
      <c r="O37" s="3" t="n">
        <v>1.428855622070338</v>
      </c>
      <c r="P37" s="3" t="n">
        <v>2.017756406015865</v>
      </c>
      <c r="Q37" s="3" t="n">
        <v>3.222243555694823</v>
      </c>
      <c r="R37" s="3" t="n">
        <v>5.770948831380035</v>
      </c>
      <c r="S37" s="3" t="n">
        <v>11.47462343169494</v>
      </c>
      <c r="T37" s="3" t="n">
        <v>7.822276549136896</v>
      </c>
      <c r="U37" s="3" t="n">
        <v>3.331787082963754</v>
      </c>
      <c r="V37" s="3" t="n">
        <v>1.982553383195715</v>
      </c>
      <c r="W37" s="3" t="n">
        <v>1.449995680013271</v>
      </c>
      <c r="X37" s="3" t="n">
        <v>1.209601912605452</v>
      </c>
      <c r="Y37" s="3" t="n">
        <v>1.095468825826628</v>
      </c>
      <c r="Z37" s="4" t="n">
        <v>0.02896375066658881</v>
      </c>
      <c r="AA37" s="4" t="n">
        <v>0.0988762705495288</v>
      </c>
      <c r="AB37" s="4" t="n">
        <v>0.172299205901139</v>
      </c>
      <c r="AC37" s="4" t="n">
        <v>0.2042608099642574</v>
      </c>
      <c r="AD37" s="4" t="n">
        <v>0.1852571900288785</v>
      </c>
      <c r="AE37" s="4" t="n">
        <v>0.1370610424118717</v>
      </c>
      <c r="AF37" s="4" t="n">
        <v>0.08613290106710586</v>
      </c>
      <c r="AG37" s="4" t="n">
        <v>0.04727364686180725</v>
      </c>
      <c r="AH37" s="4" t="n">
        <v>0.02312432888874288</v>
      </c>
      <c r="AI37" s="5" t="inlineStr">
        <is>
          <t>j oldham</t>
        </is>
      </c>
      <c r="AJ37" s="3" t="n">
        <v>0.9633802816901408</v>
      </c>
      <c r="AK37" s="5" t="n">
        <v>116</v>
      </c>
      <c r="AL37" s="8" t="n">
        <v>6</v>
      </c>
      <c r="AM37" s="8" t="n"/>
      <c r="AN37" s="8" t="n"/>
      <c r="AO37" s="8" t="n"/>
      <c r="AP37" s="8" t="n"/>
      <c r="AQ37" s="4">
        <f>IFERROR(IF($AN37="","",INDEX($H37:$M37,$AN37-0.5)),"line must be 1.5-6.5")</f>
        <v/>
      </c>
      <c r="AR37" s="3">
        <f>IF(ISNUMBER($AQ37),1/$AQ37,"")</f>
        <v/>
      </c>
      <c r="AS37" s="3">
        <f>IF(ISNUMBER($AQ37),1/(1-$AQ37),"")</f>
        <v/>
      </c>
      <c r="AT37" s="4">
        <f>IF($AO37="","",IF($AP37="",1/$AO37,(1/$AO37)/((1/$AO37)+(1/$AP37))))</f>
        <v/>
      </c>
      <c r="AU37" s="4">
        <f>IF(OR(NOT(ISNUMBER($AQ37)),$AT37=""),"",$AQ37-$AT37)</f>
        <v/>
      </c>
      <c r="AV37" s="5">
        <f>IF($AU37="","",IF($AU37&gt;=0.05,"OVER",IF($AU37&lt;=-0.05,"UNDER","skip")))</f>
        <v/>
      </c>
      <c r="AW37" s="4">
        <f>IF($AV37="OVER",$AQ37*$AO37-1,IF($AV37="UNDER",IF($AP37="","need under price",(1-$AQ37)*$AP37-1),""))</f>
        <v/>
      </c>
      <c r="AX37" s="5">
        <f>IF(OR($AV37="",$AV37="skip",$AL37="",$AN37=""),"",IF($AV37="OVER",IF($AL37&gt;$AN37,"WON","LOST"),IF($AL37&lt;$AN37,"WON","LOST")))</f>
        <v/>
      </c>
      <c r="AY37" s="7">
        <f>IF($AX37="","",IF($AX37="WON",IF($AV37="OVER",$AO37-1,$AP37-1),-1))</f>
        <v/>
      </c>
      <c r="AZ37" s="8" t="inlineStr">
        <is>
          <t>actual from BBC 2026-09-19 (provisional, ~97% exact vs football-data)</t>
        </is>
      </c>
    </row>
    <row r="38">
      <c r="A38" s="2" t="inlineStr">
        <is>
          <t>2026-09-19</t>
        </is>
      </c>
      <c r="B38" s="2" t="inlineStr">
        <is>
          <t>E3</t>
        </is>
      </c>
      <c r="C38" s="2" t="inlineStr">
        <is>
          <t>League Two</t>
        </is>
      </c>
      <c r="D38" s="2" t="inlineStr">
        <is>
          <t>Accrington</t>
        </is>
      </c>
      <c r="E38" s="2" t="inlineStr">
        <is>
          <t>Newport County</t>
        </is>
      </c>
      <c r="F38" s="3" t="n">
        <v>3.944444444444445</v>
      </c>
      <c r="G38" s="3" t="n">
        <v>3.794291718172047</v>
      </c>
      <c r="H38" s="4" t="n">
        <v>0.8827950447758216</v>
      </c>
      <c r="I38" s="4" t="n">
        <v>0.7190506133977145</v>
      </c>
      <c r="J38" s="4" t="n">
        <v>0.5191487991173366</v>
      </c>
      <c r="K38" s="4" t="n">
        <v>0.3324441291548592</v>
      </c>
      <c r="L38" s="4" t="n">
        <v>0.1901973107406763</v>
      </c>
      <c r="M38" s="4" t="n">
        <v>0.09814259770976208</v>
      </c>
      <c r="N38" s="3" t="n">
        <v>1.132765760204218</v>
      </c>
      <c r="O38" s="3" t="n">
        <v>1.390722685395846</v>
      </c>
      <c r="P38" s="3" t="n">
        <v>1.926230016712381</v>
      </c>
      <c r="Q38" s="3" t="n">
        <v>3.008024243177956</v>
      </c>
      <c r="R38" s="3" t="n">
        <v>5.257697893339017</v>
      </c>
      <c r="S38" s="3" t="n">
        <v>10.18925546435309</v>
      </c>
      <c r="T38" s="3" t="n">
        <v>8.532062471994429</v>
      </c>
      <c r="U38" s="3" t="n">
        <v>3.559359969045275</v>
      </c>
      <c r="V38" s="3" t="n">
        <v>2.079645424955523</v>
      </c>
      <c r="W38" s="3" t="n">
        <v>1.498001955602574</v>
      </c>
      <c r="X38" s="3" t="n">
        <v>1.234868707233657</v>
      </c>
      <c r="Y38" s="3" t="n">
        <v>1.108822744549784</v>
      </c>
      <c r="Z38" s="4" t="n">
        <v>0.02595620639427156</v>
      </c>
      <c r="AA38" s="4" t="n">
        <v>0.09124874882990683</v>
      </c>
      <c r="AB38" s="4" t="n">
        <v>0.1637444313781072</v>
      </c>
      <c r="AC38" s="4" t="n">
        <v>0.1999018142803779</v>
      </c>
      <c r="AD38" s="4" t="n">
        <v>0.1867046699624773</v>
      </c>
      <c r="AE38" s="4" t="n">
        <v>0.142246818414183</v>
      </c>
      <c r="AF38" s="4" t="n">
        <v>0.0920547130309142</v>
      </c>
      <c r="AG38" s="4" t="n">
        <v>0.05202888064587203</v>
      </c>
      <c r="AH38" s="4" t="n">
        <v>0.02620854649001593</v>
      </c>
      <c r="AI38" s="5" t="inlineStr">
        <is>
          <t>j robinson</t>
        </is>
      </c>
      <c r="AJ38" s="3" t="n">
        <v>0.8619718309859155</v>
      </c>
      <c r="AK38" s="5" t="n">
        <v>58</v>
      </c>
      <c r="AL38" s="8" t="n">
        <v>4</v>
      </c>
      <c r="AM38" s="8" t="n"/>
      <c r="AN38" s="8" t="n"/>
      <c r="AO38" s="8" t="n"/>
      <c r="AP38" s="8" t="n"/>
      <c r="AQ38" s="4">
        <f>IFERROR(IF($AN38="","",INDEX($H38:$M38,$AN38-0.5)),"line must be 1.5-6.5")</f>
        <v/>
      </c>
      <c r="AR38" s="3">
        <f>IF(ISNUMBER($AQ38),1/$AQ38,"")</f>
        <v/>
      </c>
      <c r="AS38" s="3">
        <f>IF(ISNUMBER($AQ38),1/(1-$AQ38),"")</f>
        <v/>
      </c>
      <c r="AT38" s="4">
        <f>IF($AO38="","",IF($AP38="",1/$AO38,(1/$AO38)/((1/$AO38)+(1/$AP38))))</f>
        <v/>
      </c>
      <c r="AU38" s="4">
        <f>IF(OR(NOT(ISNUMBER($AQ38)),$AT38=""),"",$AQ38-$AT38)</f>
        <v/>
      </c>
      <c r="AV38" s="5">
        <f>IF($AU38="","",IF($AU38&gt;=0.05,"OVER",IF($AU38&lt;=-0.05,"UNDER","skip")))</f>
        <v/>
      </c>
      <c r="AW38" s="4">
        <f>IF($AV38="OVER",$AQ38*$AO38-1,IF($AV38="UNDER",IF($AP38="","need under price",(1-$AQ38)*$AP38-1),""))</f>
        <v/>
      </c>
      <c r="AX38" s="5">
        <f>IF(OR($AV38="",$AV38="skip",$AL38="",$AN38=""),"",IF($AV38="OVER",IF($AL38&gt;$AN38,"WON","LOST"),IF($AL38&lt;$AN38,"WON","LOST")))</f>
        <v/>
      </c>
      <c r="AY38" s="7">
        <f>IF($AX38="","",IF($AX38="WON",IF($AV38="OVER",$AO38-1,$AP38-1),-1))</f>
        <v/>
      </c>
      <c r="AZ38" s="8" t="inlineStr">
        <is>
          <t>actual from BBC 2026-09-19 (provisional, ~97% exact vs football-data)</t>
        </is>
      </c>
    </row>
    <row r="39">
      <c r="A39" s="2" t="inlineStr">
        <is>
          <t>2026-09-19</t>
        </is>
      </c>
      <c r="B39" s="2" t="inlineStr">
        <is>
          <t>E3</t>
        </is>
      </c>
      <c r="C39" s="2" t="inlineStr">
        <is>
          <t>League Two</t>
        </is>
      </c>
      <c r="D39" s="2" t="inlineStr">
        <is>
          <t>Barnet</t>
        </is>
      </c>
      <c r="E39" s="2" t="inlineStr">
        <is>
          <t>Fleetwood Town</t>
        </is>
      </c>
      <c r="F39" s="3" t="n">
        <v>3.944444444444445</v>
      </c>
      <c r="G39" s="3" t="n">
        <v>4.402922609926483</v>
      </c>
      <c r="H39" s="4" t="n">
        <v>0.9254409099002819</v>
      </c>
      <c r="I39" s="4" t="n">
        <v>0.8024879934561413</v>
      </c>
      <c r="J39" s="4" t="n">
        <v>0.6303366471682653</v>
      </c>
      <c r="K39" s="4" t="n">
        <v>0.4459326795744266</v>
      </c>
      <c r="L39" s="4" t="n">
        <v>0.2848017049549892</v>
      </c>
      <c r="M39" s="4" t="n">
        <v>0.1652092190480521</v>
      </c>
      <c r="N39" s="3" t="n">
        <v>1.080566019182956</v>
      </c>
      <c r="O39" s="3" t="n">
        <v>1.246124562802762</v>
      </c>
      <c r="P39" s="3" t="n">
        <v>1.586453848895533</v>
      </c>
      <c r="Q39" s="3" t="n">
        <v>2.242490953913368</v>
      </c>
      <c r="R39" s="3" t="n">
        <v>3.511214935170569</v>
      </c>
      <c r="S39" s="3" t="n">
        <v>6.052930979046297</v>
      </c>
      <c r="T39" s="3" t="n">
        <v>13.41218084424801</v>
      </c>
      <c r="U39" s="3" t="n">
        <v>5.062983347181702</v>
      </c>
      <c r="V39" s="3" t="n">
        <v>2.705164015690745</v>
      </c>
      <c r="W39" s="3" t="n">
        <v>1.804834833485415</v>
      </c>
      <c r="X39" s="3" t="n">
        <v>1.39821362400908</v>
      </c>
      <c r="Y39" s="3" t="n">
        <v>1.197904939558217</v>
      </c>
      <c r="Z39" s="4" t="n">
        <v>0.01481735647504314</v>
      </c>
      <c r="AA39" s="4" t="n">
        <v>0.05974173362467494</v>
      </c>
      <c r="AB39" s="4" t="n">
        <v>0.1229529164441406</v>
      </c>
      <c r="AC39" s="4" t="n">
        <v>0.172151346287876</v>
      </c>
      <c r="AD39" s="4" t="n">
        <v>0.1844039675938387</v>
      </c>
      <c r="AE39" s="4" t="n">
        <v>0.1611309746194374</v>
      </c>
      <c r="AF39" s="4" t="n">
        <v>0.1195924859069372</v>
      </c>
      <c r="AG39" s="4" t="n">
        <v>0.07752178067938287</v>
      </c>
      <c r="AH39" s="4" t="n">
        <v>0.0447861350871814</v>
      </c>
      <c r="AI39" s="5" t="inlineStr">
        <is>
          <t>s jackson</t>
        </is>
      </c>
      <c r="AJ39" s="3" t="n">
        <v>1.267605633802817</v>
      </c>
      <c r="AK39" s="5" t="n">
        <v>59</v>
      </c>
      <c r="AL39" s="8" t="n">
        <v>4</v>
      </c>
      <c r="AM39" s="8" t="n"/>
      <c r="AN39" s="8" t="n"/>
      <c r="AO39" s="8" t="n"/>
      <c r="AP39" s="8" t="n"/>
      <c r="AQ39" s="4">
        <f>IFERROR(IF($AN39="","",INDEX($H39:$M39,$AN39-0.5)),"line must be 1.5-6.5")</f>
        <v/>
      </c>
      <c r="AR39" s="3">
        <f>IF(ISNUMBER($AQ39),1/$AQ39,"")</f>
        <v/>
      </c>
      <c r="AS39" s="3">
        <f>IF(ISNUMBER($AQ39),1/(1-$AQ39),"")</f>
        <v/>
      </c>
      <c r="AT39" s="4">
        <f>IF($AO39="","",IF($AP39="",1/$AO39,(1/$AO39)/((1/$AO39)+(1/$AP39))))</f>
        <v/>
      </c>
      <c r="AU39" s="4">
        <f>IF(OR(NOT(ISNUMBER($AQ39)),$AT39=""),"",$AQ39-$AT39)</f>
        <v/>
      </c>
      <c r="AV39" s="5">
        <f>IF($AU39="","",IF($AU39&gt;=0.05,"OVER",IF($AU39&lt;=-0.05,"UNDER","skip")))</f>
        <v/>
      </c>
      <c r="AW39" s="4">
        <f>IF($AV39="OVER",$AQ39*$AO39-1,IF($AV39="UNDER",IF($AP39="","need under price",(1-$AQ39)*$AP39-1),""))</f>
        <v/>
      </c>
      <c r="AX39" s="5">
        <f>IF(OR($AV39="",$AV39="skip",$AL39="",$AN39=""),"",IF($AV39="OVER",IF($AL39&gt;$AN39,"WON","LOST"),IF($AL39&lt;$AN39,"WON","LOST")))</f>
        <v/>
      </c>
      <c r="AY39" s="7">
        <f>IF($AX39="","",IF($AX39="WON",IF($AV39="OVER",$AO39-1,$AP39-1),-1))</f>
        <v/>
      </c>
      <c r="AZ39" s="8" t="inlineStr">
        <is>
          <t>actual from BBC 2026-09-19 (provisional, ~97% exact vs football-data)</t>
        </is>
      </c>
    </row>
    <row r="40">
      <c r="A40" s="2" t="inlineStr">
        <is>
          <t>2026-09-19</t>
        </is>
      </c>
      <c r="B40" s="2" t="inlineStr">
        <is>
          <t>E3</t>
        </is>
      </c>
      <c r="C40" s="2" t="inlineStr">
        <is>
          <t>League Two</t>
        </is>
      </c>
      <c r="D40" s="2" t="inlineStr">
        <is>
          <t>Chesterfield</t>
        </is>
      </c>
      <c r="E40" s="2" t="inlineStr">
        <is>
          <t>York</t>
        </is>
      </c>
      <c r="F40" s="3" t="n">
        <v>3.944444444444445</v>
      </c>
      <c r="G40" s="3" t="n">
        <v>3.392409331639064</v>
      </c>
      <c r="H40" s="4" t="n">
        <v>0.8427863698857617</v>
      </c>
      <c r="I40" s="4" t="n">
        <v>0.6495667747770392</v>
      </c>
      <c r="J40" s="4" t="n">
        <v>0.4370113771086116</v>
      </c>
      <c r="K40" s="4" t="n">
        <v>0.2581233159252977</v>
      </c>
      <c r="L40" s="4" t="n">
        <v>0.1353116813568194</v>
      </c>
      <c r="M40" s="4" t="n">
        <v>0.06369507251045248</v>
      </c>
      <c r="N40" s="3" t="n">
        <v>1.186540309302283</v>
      </c>
      <c r="O40" s="3" t="n">
        <v>1.539487607479994</v>
      </c>
      <c r="P40" s="3" t="n">
        <v>2.288269945318763</v>
      </c>
      <c r="Q40" s="3" t="n">
        <v>3.874117285435019</v>
      </c>
      <c r="R40" s="3" t="n">
        <v>7.390344942673366</v>
      </c>
      <c r="S40" s="3" t="n">
        <v>15.69980157940629</v>
      </c>
      <c r="T40" s="3" t="n">
        <v>6.360771640940778</v>
      </c>
      <c r="U40" s="3" t="n">
        <v>2.853610696770423</v>
      </c>
      <c r="V40" s="3" t="n">
        <v>1.776234828448602</v>
      </c>
      <c r="W40" s="3" t="n">
        <v>1.347932913200041</v>
      </c>
      <c r="X40" s="3" t="n">
        <v>1.156486075316876</v>
      </c>
      <c r="Y40" s="3" t="n">
        <v>1.068028129128012</v>
      </c>
      <c r="Z40" s="4" t="n">
        <v>0.03772109568360312</v>
      </c>
      <c r="AA40" s="4" t="n">
        <v>0.1194925344306351</v>
      </c>
      <c r="AB40" s="4" t="n">
        <v>0.1932195951087226</v>
      </c>
      <c r="AC40" s="4" t="n">
        <v>0.2125553976684276</v>
      </c>
      <c r="AD40" s="4" t="n">
        <v>0.1788880611833139</v>
      </c>
      <c r="AE40" s="4" t="n">
        <v>0.1228116345684783</v>
      </c>
      <c r="AF40" s="4" t="n">
        <v>0.07161660884636685</v>
      </c>
      <c r="AG40" s="4" t="n">
        <v>0.03647396530921525</v>
      </c>
      <c r="AH40" s="4" t="n">
        <v>0.01655587764212448</v>
      </c>
      <c r="AI40" s="5" t="inlineStr">
        <is>
          <t>b speedie</t>
        </is>
      </c>
      <c r="AJ40" s="3" t="n">
        <v>0.9633802816901408</v>
      </c>
      <c r="AK40" s="5" t="n">
        <v>184</v>
      </c>
      <c r="AL40" s="8" t="n">
        <v>3</v>
      </c>
      <c r="AM40" s="8" t="n"/>
      <c r="AN40" s="8" t="n"/>
      <c r="AO40" s="8" t="n"/>
      <c r="AP40" s="8" t="n"/>
      <c r="AQ40" s="4">
        <f>IFERROR(IF($AN40="","",INDEX($H40:$M40,$AN40-0.5)),"line must be 1.5-6.5")</f>
        <v/>
      </c>
      <c r="AR40" s="3">
        <f>IF(ISNUMBER($AQ40),1/$AQ40,"")</f>
        <v/>
      </c>
      <c r="AS40" s="3">
        <f>IF(ISNUMBER($AQ40),1/(1-$AQ40),"")</f>
        <v/>
      </c>
      <c r="AT40" s="4">
        <f>IF($AO40="","",IF($AP40="",1/$AO40,(1/$AO40)/((1/$AO40)+(1/$AP40))))</f>
        <v/>
      </c>
      <c r="AU40" s="4">
        <f>IF(OR(NOT(ISNUMBER($AQ40)),$AT40=""),"",$AQ40-$AT40)</f>
        <v/>
      </c>
      <c r="AV40" s="5">
        <f>IF($AU40="","",IF($AU40&gt;=0.05,"OVER",IF($AU40&lt;=-0.05,"UNDER","skip")))</f>
        <v/>
      </c>
      <c r="AW40" s="4">
        <f>IF($AV40="OVER",$AQ40*$AO40-1,IF($AV40="UNDER",IF($AP40="","need under price",(1-$AQ40)*$AP40-1),""))</f>
        <v/>
      </c>
      <c r="AX40" s="5">
        <f>IF(OR($AV40="",$AV40="skip",$AL40="",$AN40=""),"",IF($AV40="OVER",IF($AL40&gt;$AN40,"WON","LOST"),IF($AL40&lt;$AN40,"WON","LOST")))</f>
        <v/>
      </c>
      <c r="AY40" s="7">
        <f>IF($AX40="","",IF($AX40="WON",IF($AV40="OVER",$AO40-1,$AP40-1),-1))</f>
        <v/>
      </c>
      <c r="AZ40" s="8" t="inlineStr">
        <is>
          <t>actual from BBC 2026-09-19 (provisional, ~97% exact vs football-data)</t>
        </is>
      </c>
    </row>
    <row r="41">
      <c r="A41" s="2" t="inlineStr">
        <is>
          <t>2026-09-19</t>
        </is>
      </c>
      <c r="B41" s="2" t="inlineStr">
        <is>
          <t>E3</t>
        </is>
      </c>
      <c r="C41" s="2" t="inlineStr">
        <is>
          <t>League Two</t>
        </is>
      </c>
      <c r="D41" s="2" t="inlineStr">
        <is>
          <t>Colchester</t>
        </is>
      </c>
      <c r="E41" s="2" t="inlineStr">
        <is>
          <t>Cheltenham</t>
        </is>
      </c>
      <c r="F41" s="3" t="n">
        <v>3.944444444444445</v>
      </c>
      <c r="G41" s="3" t="n">
        <v>3.838826558031638</v>
      </c>
      <c r="H41" s="4" t="n">
        <v>0.8865793865625539</v>
      </c>
      <c r="I41" s="4" t="n">
        <v>0.7260180539027921</v>
      </c>
      <c r="J41" s="4" t="n">
        <v>0.5278724070300096</v>
      </c>
      <c r="K41" s="4" t="n">
        <v>0.340797147687529</v>
      </c>
      <c r="L41" s="4" t="n">
        <v>0.1967193333247612</v>
      </c>
      <c r="M41" s="4" t="n">
        <v>0.1024665999355778</v>
      </c>
      <c r="N41" s="3" t="n">
        <v>1.127930578080775</v>
      </c>
      <c r="O41" s="3" t="n">
        <v>1.37737621623097</v>
      </c>
      <c r="P41" s="3" t="n">
        <v>1.894397181368773</v>
      </c>
      <c r="Q41" s="3" t="n">
        <v>2.934296858954004</v>
      </c>
      <c r="R41" s="3" t="n">
        <v>5.083384449809587</v>
      </c>
      <c r="S41" s="3" t="n">
        <v>9.759277663440709</v>
      </c>
      <c r="T41" s="3" t="n">
        <v>8.816739477004514</v>
      </c>
      <c r="U41" s="3" t="n">
        <v>3.649875527364869</v>
      </c>
      <c r="V41" s="3" t="n">
        <v>2.118071502047461</v>
      </c>
      <c r="W41" s="3" t="n">
        <v>1.516983727379242</v>
      </c>
      <c r="X41" s="3" t="n">
        <v>1.244894893510855</v>
      </c>
      <c r="Y41" s="3" t="n">
        <v>1.114164664989875</v>
      </c>
      <c r="Z41" s="4" t="n">
        <v>0.02490742855361439</v>
      </c>
      <c r="AA41" s="4" t="n">
        <v>0.08851318488383171</v>
      </c>
      <c r="AB41" s="4" t="n">
        <v>0.1605613326597619</v>
      </c>
      <c r="AC41" s="4" t="n">
        <v>0.1981456468727824</v>
      </c>
      <c r="AD41" s="4" t="n">
        <v>0.1870752593424806</v>
      </c>
      <c r="AE41" s="4" t="n">
        <v>0.1440778143627677</v>
      </c>
      <c r="AF41" s="4" t="n">
        <v>0.09425273338918344</v>
      </c>
      <c r="AG41" s="4" t="n">
        <v>0.05385000935837107</v>
      </c>
      <c r="AH41" s="4" t="n">
        <v>0.02742064155317556</v>
      </c>
      <c r="AI41" s="5" t="inlineStr">
        <is>
          <t>a young</t>
        </is>
      </c>
      <c r="AJ41" s="3" t="n">
        <v>1.064788732394366</v>
      </c>
      <c r="AK41" s="5" t="n">
        <v>160</v>
      </c>
      <c r="AL41" s="8" t="n">
        <v>7</v>
      </c>
      <c r="AM41" s="8" t="n"/>
      <c r="AN41" s="8" t="n"/>
      <c r="AO41" s="8" t="n"/>
      <c r="AP41" s="8" t="n"/>
      <c r="AQ41" s="4">
        <f>IFERROR(IF($AN41="","",INDEX($H41:$M41,$AN41-0.5)),"line must be 1.5-6.5")</f>
        <v/>
      </c>
      <c r="AR41" s="3">
        <f>IF(ISNUMBER($AQ41),1/$AQ41,"")</f>
        <v/>
      </c>
      <c r="AS41" s="3">
        <f>IF(ISNUMBER($AQ41),1/(1-$AQ41),"")</f>
        <v/>
      </c>
      <c r="AT41" s="4">
        <f>IF($AO41="","",IF($AP41="",1/$AO41,(1/$AO41)/((1/$AO41)+(1/$AP41))))</f>
        <v/>
      </c>
      <c r="AU41" s="4">
        <f>IF(OR(NOT(ISNUMBER($AQ41)),$AT41=""),"",$AQ41-$AT41)</f>
        <v/>
      </c>
      <c r="AV41" s="5">
        <f>IF($AU41="","",IF($AU41&gt;=0.05,"OVER",IF($AU41&lt;=-0.05,"UNDER","skip")))</f>
        <v/>
      </c>
      <c r="AW41" s="4">
        <f>IF($AV41="OVER",$AQ41*$AO41-1,IF($AV41="UNDER",IF($AP41="","need under price",(1-$AQ41)*$AP41-1),""))</f>
        <v/>
      </c>
      <c r="AX41" s="5">
        <f>IF(OR($AV41="",$AV41="skip",$AL41="",$AN41=""),"",IF($AV41="OVER",IF($AL41&gt;$AN41,"WON","LOST"),IF($AL41&lt;$AN41,"WON","LOST")))</f>
        <v/>
      </c>
      <c r="AY41" s="7">
        <f>IF($AX41="","",IF($AX41="WON",IF($AV41="OVER",$AO41-1,$AP41-1),-1))</f>
        <v/>
      </c>
      <c r="AZ41" s="8" t="inlineStr">
        <is>
          <t>actual from BBC 2026-09-19 (provisional, ~97% exact vs football-data)</t>
        </is>
      </c>
    </row>
    <row r="42">
      <c r="A42" s="2" t="inlineStr">
        <is>
          <t>2026-09-19</t>
        </is>
      </c>
      <c r="B42" s="2" t="inlineStr">
        <is>
          <t>E3</t>
        </is>
      </c>
      <c r="C42" s="2" t="inlineStr">
        <is>
          <t>League Two</t>
        </is>
      </c>
      <c r="D42" s="2" t="inlineStr">
        <is>
          <t>Crewe</t>
        </is>
      </c>
      <c r="E42" s="2" t="inlineStr">
        <is>
          <t>Shrewsbury</t>
        </is>
      </c>
      <c r="F42" s="3" t="n">
        <v>3.944444444444445</v>
      </c>
      <c r="G42" s="3" t="n">
        <v>3.497660909502526</v>
      </c>
      <c r="H42" s="4" t="n">
        <v>0.8543566638807994</v>
      </c>
      <c r="I42" s="4" t="n">
        <v>0.6689318895034781</v>
      </c>
      <c r="J42" s="4" t="n">
        <v>0.4590538785365905</v>
      </c>
      <c r="K42" s="4" t="n">
        <v>0.2773122693777648</v>
      </c>
      <c r="L42" s="4" t="n">
        <v>0.1489342314818781</v>
      </c>
      <c r="M42" s="4" t="n">
        <v>0.07190719577082383</v>
      </c>
      <c r="N42" s="3" t="n">
        <v>1.170471352628814</v>
      </c>
      <c r="O42" s="3" t="n">
        <v>1.494920507889467</v>
      </c>
      <c r="P42" s="3" t="n">
        <v>2.178393532340652</v>
      </c>
      <c r="Q42" s="3" t="n">
        <v>3.606043116100875</v>
      </c>
      <c r="R42" s="3" t="n">
        <v>6.714373116577145</v>
      </c>
      <c r="S42" s="3" t="n">
        <v>13.90681404385606</v>
      </c>
      <c r="T42" s="3" t="n">
        <v>6.866088258109925</v>
      </c>
      <c r="U42" s="3" t="n">
        <v>3.020526496799231</v>
      </c>
      <c r="V42" s="3" t="n">
        <v>1.848612940036842</v>
      </c>
      <c r="W42" s="3" t="n">
        <v>1.38372350550216</v>
      </c>
      <c r="X42" s="3" t="n">
        <v>1.174997323345765</v>
      </c>
      <c r="Y42" s="3" t="n">
        <v>1.077478454140743</v>
      </c>
      <c r="Z42" s="4" t="n">
        <v>0.03419357192315203</v>
      </c>
      <c r="AA42" s="4" t="n">
        <v>0.1114497641960485</v>
      </c>
      <c r="AB42" s="4" t="n">
        <v>0.1854247743773213</v>
      </c>
      <c r="AC42" s="4" t="n">
        <v>0.2098780109668876</v>
      </c>
      <c r="AD42" s="4" t="n">
        <v>0.1817416091588258</v>
      </c>
      <c r="AE42" s="4" t="n">
        <v>0.1283780378958866</v>
      </c>
      <c r="AF42" s="4" t="n">
        <v>0.07702703571105433</v>
      </c>
      <c r="AG42" s="4" t="n">
        <v>0.04036366779259389</v>
      </c>
      <c r="AH42" s="4" t="n">
        <v>0.01885115917953267</v>
      </c>
      <c r="AI42" s="5" t="inlineStr">
        <is>
          <t>a chilowicz</t>
        </is>
      </c>
      <c r="AJ42" s="3" t="n">
        <v>0.9633802816901408</v>
      </c>
      <c r="AK42" s="5" t="n">
        <v>72</v>
      </c>
      <c r="AL42" s="8" t="n">
        <v>6</v>
      </c>
      <c r="AM42" s="8" t="n"/>
      <c r="AN42" s="8" t="n"/>
      <c r="AO42" s="8" t="n"/>
      <c r="AP42" s="8" t="n"/>
      <c r="AQ42" s="4">
        <f>IFERROR(IF($AN42="","",INDEX($H42:$M42,$AN42-0.5)),"line must be 1.5-6.5")</f>
        <v/>
      </c>
      <c r="AR42" s="3">
        <f>IF(ISNUMBER($AQ42),1/$AQ42,"")</f>
        <v/>
      </c>
      <c r="AS42" s="3">
        <f>IF(ISNUMBER($AQ42),1/(1-$AQ42),"")</f>
        <v/>
      </c>
      <c r="AT42" s="4">
        <f>IF($AO42="","",IF($AP42="",1/$AO42,(1/$AO42)/((1/$AO42)+(1/$AP42))))</f>
        <v/>
      </c>
      <c r="AU42" s="4">
        <f>IF(OR(NOT(ISNUMBER($AQ42)),$AT42=""),"",$AQ42-$AT42)</f>
        <v/>
      </c>
      <c r="AV42" s="5">
        <f>IF($AU42="","",IF($AU42&gt;=0.05,"OVER",IF($AU42&lt;=-0.05,"UNDER","skip")))</f>
        <v/>
      </c>
      <c r="AW42" s="4">
        <f>IF($AV42="OVER",$AQ42*$AO42-1,IF($AV42="UNDER",IF($AP42="","need under price",(1-$AQ42)*$AP42-1),""))</f>
        <v/>
      </c>
      <c r="AX42" s="5">
        <f>IF(OR($AV42="",$AV42="skip",$AL42="",$AN42=""),"",IF($AV42="OVER",IF($AL42&gt;$AN42,"WON","LOST"),IF($AL42&lt;$AN42,"WON","LOST")))</f>
        <v/>
      </c>
      <c r="AY42" s="7">
        <f>IF($AX42="","",IF($AX42="WON",IF($AV42="OVER",$AO42-1,$AP42-1),-1))</f>
        <v/>
      </c>
      <c r="AZ42" s="8" t="inlineStr">
        <is>
          <t>actual from BBC 2026-09-19 (provisional, ~97% exact vs football-data)</t>
        </is>
      </c>
    </row>
    <row r="43">
      <c r="A43" s="2" t="inlineStr">
        <is>
          <t>2026-09-19</t>
        </is>
      </c>
      <c r="B43" s="2" t="inlineStr">
        <is>
          <t>E3</t>
        </is>
      </c>
      <c r="C43" s="2" t="inlineStr">
        <is>
          <t>League Two</t>
        </is>
      </c>
      <c r="D43" s="2" t="inlineStr">
        <is>
          <t>Exeter</t>
        </is>
      </c>
      <c r="E43" s="2" t="inlineStr">
        <is>
          <t>Tranmere</t>
        </is>
      </c>
      <c r="F43" s="3" t="n">
        <v>3.944444444444445</v>
      </c>
      <c r="G43" s="3" t="n">
        <v>3.731756775199488</v>
      </c>
      <c r="H43" s="4" t="n">
        <v>0.8772776089333332</v>
      </c>
      <c r="I43" s="4" t="n">
        <v>0.7090247215948589</v>
      </c>
      <c r="J43" s="4" t="n">
        <v>0.5067593198854615</v>
      </c>
      <c r="K43" s="4" t="n">
        <v>0.3207353425004164</v>
      </c>
      <c r="L43" s="4" t="n">
        <v>0.1811739848382721</v>
      </c>
      <c r="M43" s="4" t="n">
        <v>0.09223799726973236</v>
      </c>
      <c r="N43" s="3" t="n">
        <v>1.139890030039503</v>
      </c>
      <c r="O43" s="3" t="n">
        <v>1.410388057768466</v>
      </c>
      <c r="P43" s="3" t="n">
        <v>1.973323352446723</v>
      </c>
      <c r="Q43" s="3" t="n">
        <v>3.117835384788322</v>
      </c>
      <c r="R43" s="3" t="n">
        <v>5.519556248059932</v>
      </c>
      <c r="S43" s="3" t="n">
        <v>10.84151900084833</v>
      </c>
      <c r="T43" s="3" t="n">
        <v>8.148472265804919</v>
      </c>
      <c r="U43" s="3" t="n">
        <v>3.436718079560162</v>
      </c>
      <c r="V43" s="3" t="n">
        <v>2.027407795658265</v>
      </c>
      <c r="W43" s="3" t="n">
        <v>1.472180230428981</v>
      </c>
      <c r="X43" s="3" t="n">
        <v>1.221260660364446</v>
      </c>
      <c r="Y43" s="3" t="n">
        <v>1.101610330672917</v>
      </c>
      <c r="Z43" s="4" t="n">
        <v>0.02750549383005742</v>
      </c>
      <c r="AA43" s="4" t="n">
        <v>0.09521689723660944</v>
      </c>
      <c r="AB43" s="4" t="n">
        <v>0.1682528873384742</v>
      </c>
      <c r="AC43" s="4" t="n">
        <v>0.2022654017093974</v>
      </c>
      <c r="AD43" s="4" t="n">
        <v>0.1860239773850451</v>
      </c>
      <c r="AE43" s="4" t="n">
        <v>0.1395613576621443</v>
      </c>
      <c r="AF43" s="4" t="n">
        <v>0.0889359875685397</v>
      </c>
      <c r="AG43" s="4" t="n">
        <v>0.04949768246720117</v>
      </c>
      <c r="AH43" s="4" t="n">
        <v>0.02455230089983415</v>
      </c>
      <c r="AI43" s="5" t="inlineStr">
        <is>
          <t>i searle</t>
        </is>
      </c>
      <c r="AJ43" s="3" t="n">
        <v>0.8732394366197184</v>
      </c>
      <c r="AK43" s="5" t="n">
        <v>9</v>
      </c>
      <c r="AL43" s="8" t="n">
        <v>5</v>
      </c>
      <c r="AM43" s="8" t="n"/>
      <c r="AN43" s="8" t="n"/>
      <c r="AO43" s="8" t="n"/>
      <c r="AP43" s="8" t="n"/>
      <c r="AQ43" s="4">
        <f>IFERROR(IF($AN43="","",INDEX($H43:$M43,$AN43-0.5)),"line must be 1.5-6.5")</f>
        <v/>
      </c>
      <c r="AR43" s="3">
        <f>IF(ISNUMBER($AQ43),1/$AQ43,"")</f>
        <v/>
      </c>
      <c r="AS43" s="3">
        <f>IF(ISNUMBER($AQ43),1/(1-$AQ43),"")</f>
        <v/>
      </c>
      <c r="AT43" s="4">
        <f>IF($AO43="","",IF($AP43="",1/$AO43,(1/$AO43)/((1/$AO43)+(1/$AP43))))</f>
        <v/>
      </c>
      <c r="AU43" s="4">
        <f>IF(OR(NOT(ISNUMBER($AQ43)),$AT43=""),"",$AQ43-$AT43)</f>
        <v/>
      </c>
      <c r="AV43" s="5">
        <f>IF($AU43="","",IF($AU43&gt;=0.05,"OVER",IF($AU43&lt;=-0.05,"UNDER","skip")))</f>
        <v/>
      </c>
      <c r="AW43" s="4">
        <f>IF($AV43="OVER",$AQ43*$AO43-1,IF($AV43="UNDER",IF($AP43="","need under price",(1-$AQ43)*$AP43-1),""))</f>
        <v/>
      </c>
      <c r="AX43" s="5">
        <f>IF(OR($AV43="",$AV43="skip",$AL43="",$AN43=""),"",IF($AV43="OVER",IF($AL43&gt;$AN43,"WON","LOST"),IF($AL43&lt;$AN43,"WON","LOST")))</f>
        <v/>
      </c>
      <c r="AY43" s="7">
        <f>IF($AX43="","",IF($AX43="WON",IF($AV43="OVER",$AO43-1,$AP43-1),-1))</f>
        <v/>
      </c>
      <c r="AZ43" s="8" t="inlineStr">
        <is>
          <t>actual from BBC 2026-09-19 (provisional, ~97% exact vs football-data)</t>
        </is>
      </c>
    </row>
    <row r="44">
      <c r="A44" s="2" t="inlineStr">
        <is>
          <t>2026-09-19</t>
        </is>
      </c>
      <c r="B44" s="2" t="inlineStr">
        <is>
          <t>E3</t>
        </is>
      </c>
      <c r="C44" s="2" t="inlineStr">
        <is>
          <t>League Two</t>
        </is>
      </c>
      <c r="D44" s="2" t="inlineStr">
        <is>
          <t>Gillingham</t>
        </is>
      </c>
      <c r="E44" s="2" t="inlineStr">
        <is>
          <t>Bristol Rvs</t>
        </is>
      </c>
      <c r="F44" s="3" t="n">
        <v>3.944444444444445</v>
      </c>
      <c r="G44" s="3" t="n">
        <v>3.969296260800642</v>
      </c>
      <c r="H44" s="4" t="n">
        <v>0.8970057748721679</v>
      </c>
      <c r="I44" s="4" t="n">
        <v>0.745617015775202</v>
      </c>
      <c r="J44" s="4" t="n">
        <v>0.5529278750059824</v>
      </c>
      <c r="K44" s="4" t="n">
        <v>0.365294927892249</v>
      </c>
      <c r="L44" s="4" t="n">
        <v>0.2162525073257109</v>
      </c>
      <c r="M44" s="4" t="n">
        <v>0.1156921571665818</v>
      </c>
      <c r="N44" s="3" t="n">
        <v>1.114820024589596</v>
      </c>
      <c r="O44" s="3" t="n">
        <v>1.341171109085167</v>
      </c>
      <c r="P44" s="3" t="n">
        <v>1.808554144587448</v>
      </c>
      <c r="Q44" s="3" t="n">
        <v>2.737514056847156</v>
      </c>
      <c r="R44" s="3" t="n">
        <v>4.624223840761485</v>
      </c>
      <c r="S44" s="3" t="n">
        <v>8.643628267386605</v>
      </c>
      <c r="T44" s="3" t="n">
        <v>9.709282231686702</v>
      </c>
      <c r="U44" s="3" t="n">
        <v>3.931080543957692</v>
      </c>
      <c r="V44" s="3" t="n">
        <v>2.236775553862548</v>
      </c>
      <c r="W44" s="3" t="n">
        <v>1.575534912111486</v>
      </c>
      <c r="X44" s="3" t="n">
        <v>1.275921147240699</v>
      </c>
      <c r="Y44" s="3" t="n">
        <v>1.130827921638568</v>
      </c>
      <c r="Z44" s="4" t="n">
        <v>0.02207707226606511</v>
      </c>
      <c r="AA44" s="4" t="n">
        <v>0.080917152861767</v>
      </c>
      <c r="AB44" s="4" t="n">
        <v>0.1513887590969659</v>
      </c>
      <c r="AC44" s="4" t="n">
        <v>0.1926891407692196</v>
      </c>
      <c r="AD44" s="4" t="n">
        <v>0.1876329471137333</v>
      </c>
      <c r="AE44" s="4" t="n">
        <v>0.1490424205665381</v>
      </c>
      <c r="AF44" s="4" t="n">
        <v>0.1005603501591291</v>
      </c>
      <c r="AG44" s="4" t="n">
        <v>0.05925686150394857</v>
      </c>
      <c r="AH44" s="4" t="n">
        <v>0.03112078288416698</v>
      </c>
      <c r="AI44" s="5" t="inlineStr">
        <is>
          <t>s gill</t>
        </is>
      </c>
      <c r="AJ44" s="3" t="n">
        <v>0.836619718309859</v>
      </c>
      <c r="AK44" s="5" t="n">
        <v>82</v>
      </c>
      <c r="AL44" s="8" t="n">
        <v>3</v>
      </c>
      <c r="AM44" s="8" t="n"/>
      <c r="AN44" s="8" t="n"/>
      <c r="AO44" s="8" t="n"/>
      <c r="AP44" s="8" t="n"/>
      <c r="AQ44" s="4">
        <f>IFERROR(IF($AN44="","",INDEX($H44:$M44,$AN44-0.5)),"line must be 1.5-6.5")</f>
        <v/>
      </c>
      <c r="AR44" s="3">
        <f>IF(ISNUMBER($AQ44),1/$AQ44,"")</f>
        <v/>
      </c>
      <c r="AS44" s="3">
        <f>IF(ISNUMBER($AQ44),1/(1-$AQ44),"")</f>
        <v/>
      </c>
      <c r="AT44" s="4">
        <f>IF($AO44="","",IF($AP44="",1/$AO44,(1/$AO44)/((1/$AO44)+(1/$AP44))))</f>
        <v/>
      </c>
      <c r="AU44" s="4">
        <f>IF(OR(NOT(ISNUMBER($AQ44)),$AT44=""),"",$AQ44-$AT44)</f>
        <v/>
      </c>
      <c r="AV44" s="5">
        <f>IF($AU44="","",IF($AU44&gt;=0.05,"OVER",IF($AU44&lt;=-0.05,"UNDER","skip")))</f>
        <v/>
      </c>
      <c r="AW44" s="4">
        <f>IF($AV44="OVER",$AQ44*$AO44-1,IF($AV44="UNDER",IF($AP44="","need under price",(1-$AQ44)*$AP44-1),""))</f>
        <v/>
      </c>
      <c r="AX44" s="5">
        <f>IF(OR($AV44="",$AV44="skip",$AL44="",$AN44=""),"",IF($AV44="OVER",IF($AL44&gt;$AN44,"WON","LOST"),IF($AL44&lt;$AN44,"WON","LOST")))</f>
        <v/>
      </c>
      <c r="AY44" s="7">
        <f>IF($AX44="","",IF($AX44="WON",IF($AV44="OVER",$AO44-1,$AP44-1),-1))</f>
        <v/>
      </c>
      <c r="AZ44" s="8" t="inlineStr">
        <is>
          <t>actual from BBC 2026-09-19 (provisional, ~97% exact vs football-data)</t>
        </is>
      </c>
    </row>
    <row r="45">
      <c r="A45" s="2" t="inlineStr">
        <is>
          <t>2026-09-19</t>
        </is>
      </c>
      <c r="B45" s="2" t="inlineStr">
        <is>
          <t>E3</t>
        </is>
      </c>
      <c r="C45" s="2" t="inlineStr">
        <is>
          <t>League Two</t>
        </is>
      </c>
      <c r="D45" s="2" t="inlineStr">
        <is>
          <t>Grimsby</t>
        </is>
      </c>
      <c r="E45" s="2" t="inlineStr">
        <is>
          <t>Crawley Town</t>
        </is>
      </c>
      <c r="F45" s="3" t="n">
        <v>3.944444444444445</v>
      </c>
      <c r="G45" s="3" t="n">
        <v>4.003578248351173</v>
      </c>
      <c r="H45" s="4" t="n">
        <v>0.8995892079146646</v>
      </c>
      <c r="I45" s="4" t="n">
        <v>0.7505689247585898</v>
      </c>
      <c r="J45" s="4" t="n">
        <v>0.5593827242632891</v>
      </c>
      <c r="K45" s="4" t="n">
        <v>0.3717295351965033</v>
      </c>
      <c r="L45" s="4" t="n">
        <v>0.221483060130813</v>
      </c>
      <c r="M45" s="4" t="n">
        <v>0.1193023960994359</v>
      </c>
      <c r="N45" s="3" t="n">
        <v>1.111618493421122</v>
      </c>
      <c r="O45" s="3" t="n">
        <v>1.332322678189263</v>
      </c>
      <c r="P45" s="3" t="n">
        <v>1.787684811534012</v>
      </c>
      <c r="Q45" s="3" t="n">
        <v>2.690127916447051</v>
      </c>
      <c r="R45" s="3" t="n">
        <v>4.515017985616494</v>
      </c>
      <c r="S45" s="3" t="n">
        <v>8.382061322276561</v>
      </c>
      <c r="T45" s="3" t="n">
        <v>9.959088851227634</v>
      </c>
      <c r="U45" s="3" t="n">
        <v>4.009123558610958</v>
      </c>
      <c r="V45" s="3" t="n">
        <v>2.269543331745226</v>
      </c>
      <c r="W45" s="3" t="n">
        <v>1.591671192617289</v>
      </c>
      <c r="X45" s="3" t="n">
        <v>1.28449356563523</v>
      </c>
      <c r="Y45" s="3" t="n">
        <v>1.135463518432492</v>
      </c>
      <c r="Z45" s="4" t="n">
        <v>0.02138937723657801</v>
      </c>
      <c r="AA45" s="4" t="n">
        <v>0.07902141484875748</v>
      </c>
      <c r="AB45" s="4" t="n">
        <v>0.1490202831560747</v>
      </c>
      <c r="AC45" s="4" t="n">
        <v>0.1911862004953008</v>
      </c>
      <c r="AD45" s="4" t="n">
        <v>0.1876531890667857</v>
      </c>
      <c r="AE45" s="4" t="n">
        <v>0.1502464750656903</v>
      </c>
      <c r="AF45" s="4" t="n">
        <v>0.102180664031377</v>
      </c>
      <c r="AG45" s="4" t="n">
        <v>0.06069153707180171</v>
      </c>
      <c r="AH45" s="4" t="n">
        <v>0.03212828560036555</v>
      </c>
      <c r="AI45" s="5" t="inlineStr">
        <is>
          <t>e heaslip</t>
        </is>
      </c>
      <c r="AJ45" s="3" t="n">
        <v>0.971830985915493</v>
      </c>
      <c r="AK45" s="5" t="n">
        <v>6</v>
      </c>
      <c r="AL45" s="8" t="n">
        <v>6</v>
      </c>
      <c r="AM45" s="8" t="n"/>
      <c r="AN45" s="8" t="n"/>
      <c r="AO45" s="8" t="n"/>
      <c r="AP45" s="8" t="n"/>
      <c r="AQ45" s="4">
        <f>IFERROR(IF($AN45="","",INDEX($H45:$M45,$AN45-0.5)),"line must be 1.5-6.5")</f>
        <v/>
      </c>
      <c r="AR45" s="3">
        <f>IF(ISNUMBER($AQ45),1/$AQ45,"")</f>
        <v/>
      </c>
      <c r="AS45" s="3">
        <f>IF(ISNUMBER($AQ45),1/(1-$AQ45),"")</f>
        <v/>
      </c>
      <c r="AT45" s="4">
        <f>IF($AO45="","",IF($AP45="",1/$AO45,(1/$AO45)/((1/$AO45)+(1/$AP45))))</f>
        <v/>
      </c>
      <c r="AU45" s="4">
        <f>IF(OR(NOT(ISNUMBER($AQ45)),$AT45=""),"",$AQ45-$AT45)</f>
        <v/>
      </c>
      <c r="AV45" s="5">
        <f>IF($AU45="","",IF($AU45&gt;=0.05,"OVER",IF($AU45&lt;=-0.05,"UNDER","skip")))</f>
        <v/>
      </c>
      <c r="AW45" s="4">
        <f>IF($AV45="OVER",$AQ45*$AO45-1,IF($AV45="UNDER",IF($AP45="","need under price",(1-$AQ45)*$AP45-1),""))</f>
        <v/>
      </c>
      <c r="AX45" s="5">
        <f>IF(OR($AV45="",$AV45="skip",$AL45="",$AN45=""),"",IF($AV45="OVER",IF($AL45&gt;$AN45,"WON","LOST"),IF($AL45&lt;$AN45,"WON","LOST")))</f>
        <v/>
      </c>
      <c r="AY45" s="7">
        <f>IF($AX45="","",IF($AX45="WON",IF($AV45="OVER",$AO45-1,$AP45-1),-1))</f>
        <v/>
      </c>
      <c r="AZ45" s="8" t="inlineStr">
        <is>
          <t>actual from BBC 2026-09-19 (provisional, ~97% exact vs football-data)</t>
        </is>
      </c>
    </row>
    <row r="46">
      <c r="A46" s="2" t="inlineStr">
        <is>
          <t>2026-09-19</t>
        </is>
      </c>
      <c r="B46" s="2" t="inlineStr">
        <is>
          <t>E3</t>
        </is>
      </c>
      <c r="C46" s="2" t="inlineStr">
        <is>
          <t>League Two</t>
        </is>
      </c>
      <c r="D46" s="2" t="inlineStr">
        <is>
          <t>Northampton</t>
        </is>
      </c>
      <c r="E46" s="2" t="inlineStr">
        <is>
          <t>Rotherham</t>
        </is>
      </c>
      <c r="F46" s="3" t="n">
        <v>3.944444444444445</v>
      </c>
      <c r="G46" s="3" t="n">
        <v>3.594440106721989</v>
      </c>
      <c r="H46" s="4" t="n">
        <v>0.8642843150852173</v>
      </c>
      <c r="I46" s="4" t="n">
        <v>0.6860018326417147</v>
      </c>
      <c r="J46" s="4" t="n">
        <v>0.4790146228342932</v>
      </c>
      <c r="K46" s="4" t="n">
        <v>0.2951633686906047</v>
      </c>
      <c r="L46" s="4" t="n">
        <v>0.161952819548204</v>
      </c>
      <c r="M46" s="4" t="n">
        <v>0.07996926822255424</v>
      </c>
      <c r="N46" s="3" t="n">
        <v>1.157026666510084</v>
      </c>
      <c r="O46" s="3" t="n">
        <v>1.457722053232882</v>
      </c>
      <c r="P46" s="3" t="n">
        <v>2.087618941741435</v>
      </c>
      <c r="Q46" s="3" t="n">
        <v>3.387954285913498</v>
      </c>
      <c r="R46" s="3" t="n">
        <v>6.174637791362182</v>
      </c>
      <c r="S46" s="3" t="n">
        <v>12.50480368554834</v>
      </c>
      <c r="T46" s="3" t="n">
        <v>7.368345085742377</v>
      </c>
      <c r="U46" s="3" t="n">
        <v>3.184731963288681</v>
      </c>
      <c r="V46" s="3" t="n">
        <v>1.919439669190438</v>
      </c>
      <c r="W46" s="3" t="n">
        <v>1.418768485602502</v>
      </c>
      <c r="X46" s="3" t="n">
        <v>1.193250240948122</v>
      </c>
      <c r="Y46" s="3" t="n">
        <v>1.086920214141171</v>
      </c>
      <c r="Z46" s="4" t="n">
        <v>0.03124741313805662</v>
      </c>
      <c r="AA46" s="4" t="n">
        <v>0.1044682717767261</v>
      </c>
      <c r="AB46" s="4" t="n">
        <v>0.1782824824435026</v>
      </c>
      <c r="AC46" s="4" t="n">
        <v>0.2069872098074214</v>
      </c>
      <c r="AD46" s="4" t="n">
        <v>0.1838512541436886</v>
      </c>
      <c r="AE46" s="4" t="n">
        <v>0.1332105491424007</v>
      </c>
      <c r="AF46" s="4" t="n">
        <v>0.08198355132564975</v>
      </c>
      <c r="AG46" s="4" t="n">
        <v>0.04406662830153797</v>
      </c>
      <c r="AH46" s="4" t="n">
        <v>0.02111022766398716</v>
      </c>
      <c r="AI46" s="5" t="inlineStr">
        <is>
          <t>w finnie</t>
        </is>
      </c>
      <c r="AJ46" s="3" t="n">
        <v>0.8112676056338028</v>
      </c>
      <c r="AK46" s="5" t="n">
        <v>195</v>
      </c>
      <c r="AL46" s="8" t="n">
        <v>4</v>
      </c>
      <c r="AM46" s="8" t="n"/>
      <c r="AN46" s="8" t="n"/>
      <c r="AO46" s="8" t="n"/>
      <c r="AP46" s="8" t="n"/>
      <c r="AQ46" s="4">
        <f>IFERROR(IF($AN46="","",INDEX($H46:$M46,$AN46-0.5)),"line must be 1.5-6.5")</f>
        <v/>
      </c>
      <c r="AR46" s="3">
        <f>IF(ISNUMBER($AQ46),1/$AQ46,"")</f>
        <v/>
      </c>
      <c r="AS46" s="3">
        <f>IF(ISNUMBER($AQ46),1/(1-$AQ46),"")</f>
        <v/>
      </c>
      <c r="AT46" s="4">
        <f>IF($AO46="","",IF($AP46="",1/$AO46,(1/$AO46)/((1/$AO46)+(1/$AP46))))</f>
        <v/>
      </c>
      <c r="AU46" s="4">
        <f>IF(OR(NOT(ISNUMBER($AQ46)),$AT46=""),"",$AQ46-$AT46)</f>
        <v/>
      </c>
      <c r="AV46" s="5">
        <f>IF($AU46="","",IF($AU46&gt;=0.05,"OVER",IF($AU46&lt;=-0.05,"UNDER","skip")))</f>
        <v/>
      </c>
      <c r="AW46" s="4">
        <f>IF($AV46="OVER",$AQ46*$AO46-1,IF($AV46="UNDER",IF($AP46="","need under price",(1-$AQ46)*$AP46-1),""))</f>
        <v/>
      </c>
      <c r="AX46" s="5">
        <f>IF(OR($AV46="",$AV46="skip",$AL46="",$AN46=""),"",IF($AV46="OVER",IF($AL46&gt;$AN46,"WON","LOST"),IF($AL46&lt;$AN46,"WON","LOST")))</f>
        <v/>
      </c>
      <c r="AY46" s="7">
        <f>IF($AX46="","",IF($AX46="WON",IF($AV46="OVER",$AO46-1,$AP46-1),-1))</f>
        <v/>
      </c>
      <c r="AZ46" s="8" t="inlineStr">
        <is>
          <t>actual from BBC 2026-09-19 (provisional, ~97% exact vs football-data)</t>
        </is>
      </c>
    </row>
    <row r="47">
      <c r="A47" s="2" t="inlineStr">
        <is>
          <t>2026-09-19</t>
        </is>
      </c>
      <c r="B47" s="2" t="inlineStr">
        <is>
          <t>E3</t>
        </is>
      </c>
      <c r="C47" s="2" t="inlineStr">
        <is>
          <t>League Two</t>
        </is>
      </c>
      <c r="D47" s="2" t="inlineStr">
        <is>
          <t>Salford</t>
        </is>
      </c>
      <c r="E47" s="2" t="inlineStr">
        <is>
          <t>Swindon</t>
        </is>
      </c>
      <c r="F47" s="3" t="n">
        <v>3.944444444444445</v>
      </c>
      <c r="G47" s="3" t="n">
        <v>3.355692722520649</v>
      </c>
      <c r="H47" s="4" t="n">
        <v>0.8385514422374845</v>
      </c>
      <c r="I47" s="4" t="n">
        <v>0.6426141649661344</v>
      </c>
      <c r="J47" s="4" t="n">
        <v>0.4292490992455227</v>
      </c>
      <c r="K47" s="4" t="n">
        <v>0.2514957437733775</v>
      </c>
      <c r="L47" s="4" t="n">
        <v>0.1306973284854172</v>
      </c>
      <c r="M47" s="4" t="n">
        <v>0.06096715387983087</v>
      </c>
      <c r="N47" s="3" t="n">
        <v>1.192532681515313</v>
      </c>
      <c r="O47" s="3" t="n">
        <v>1.556143724364837</v>
      </c>
      <c r="P47" s="3" t="n">
        <v>2.329649617803899</v>
      </c>
      <c r="Q47" s="3" t="n">
        <v>3.976210432018678</v>
      </c>
      <c r="R47" s="3" t="n">
        <v>7.651265803122955</v>
      </c>
      <c r="S47" s="3" t="n">
        <v>16.40227460791506</v>
      </c>
      <c r="T47" s="3" t="n">
        <v>6.193923401105636</v>
      </c>
      <c r="U47" s="3" t="n">
        <v>2.798096348461155</v>
      </c>
      <c r="V47" s="3" t="n">
        <v>1.75207783058791</v>
      </c>
      <c r="W47" s="3" t="n">
        <v>1.335997747081926</v>
      </c>
      <c r="X47" s="3" t="n">
        <v>1.150347321788053</v>
      </c>
      <c r="Y47" s="3" t="n">
        <v>1.064925475324671</v>
      </c>
      <c r="Z47" s="4" t="n">
        <v>0.0390372890914962</v>
      </c>
      <c r="AA47" s="4" t="n">
        <v>0.1224112686710193</v>
      </c>
      <c r="AB47" s="4" t="n">
        <v>0.19593727727135</v>
      </c>
      <c r="AC47" s="4" t="n">
        <v>0.2133650657206117</v>
      </c>
      <c r="AD47" s="4" t="n">
        <v>0.1777533554721452</v>
      </c>
      <c r="AE47" s="4" t="n">
        <v>0.1207984152879604</v>
      </c>
      <c r="AF47" s="4" t="n">
        <v>0.06973017460558624</v>
      </c>
      <c r="AG47" s="4" t="n">
        <v>0.03515404104381742</v>
      </c>
      <c r="AH47" s="4" t="n">
        <v>0.01579536832629343</v>
      </c>
      <c r="AI47" s="5" t="inlineStr">
        <is>
          <t>n hair</t>
        </is>
      </c>
      <c r="AJ47" s="3" t="n">
        <v>1.014084507042254</v>
      </c>
      <c r="AK47" s="5" t="n">
        <v>170</v>
      </c>
      <c r="AL47" s="8" t="n">
        <v>3</v>
      </c>
      <c r="AM47" s="8" t="n"/>
      <c r="AN47" s="8" t="n"/>
      <c r="AO47" s="8" t="n"/>
      <c r="AP47" s="8" t="n"/>
      <c r="AQ47" s="4">
        <f>IFERROR(IF($AN47="","",INDEX($H47:$M47,$AN47-0.5)),"line must be 1.5-6.5")</f>
        <v/>
      </c>
      <c r="AR47" s="3">
        <f>IF(ISNUMBER($AQ47),1/$AQ47,"")</f>
        <v/>
      </c>
      <c r="AS47" s="3">
        <f>IF(ISNUMBER($AQ47),1/(1-$AQ47),"")</f>
        <v/>
      </c>
      <c r="AT47" s="4">
        <f>IF($AO47="","",IF($AP47="",1/$AO47,(1/$AO47)/((1/$AO47)+(1/$AP47))))</f>
        <v/>
      </c>
      <c r="AU47" s="4">
        <f>IF(OR(NOT(ISNUMBER($AQ47)),$AT47=""),"",$AQ47-$AT47)</f>
        <v/>
      </c>
      <c r="AV47" s="5">
        <f>IF($AU47="","",IF($AU47&gt;=0.05,"OVER",IF($AU47&lt;=-0.05,"UNDER","skip")))</f>
        <v/>
      </c>
      <c r="AW47" s="4">
        <f>IF($AV47="OVER",$AQ47*$AO47-1,IF($AV47="UNDER",IF($AP47="","need under price",(1-$AQ47)*$AP47-1),""))</f>
        <v/>
      </c>
      <c r="AX47" s="5">
        <f>IF(OR($AV47="",$AV47="skip",$AL47="",$AN47=""),"",IF($AV47="OVER",IF($AL47&gt;$AN47,"WON","LOST"),IF($AL47&lt;$AN47,"WON","LOST")))</f>
        <v/>
      </c>
      <c r="AY47" s="7">
        <f>IF($AX47="","",IF($AX47="WON",IF($AV47="OVER",$AO47-1,$AP47-1),-1))</f>
        <v/>
      </c>
      <c r="AZ47" s="8" t="inlineStr">
        <is>
          <t>actual from BBC 2026-09-19 (provisional, ~97% exact vs football-data)</t>
        </is>
      </c>
    </row>
    <row r="48">
      <c r="D48" s="9" t="inlineStr">
        <is>
          <t>EXAMPLE OF A COMPLETED ROW (not a real fixture, not counted anywhere)</t>
        </is>
      </c>
    </row>
    <row r="49">
      <c r="A49" s="10" t="inlineStr">
        <is>
          <t>2026-09-19</t>
        </is>
      </c>
      <c r="B49" s="10" t="inlineStr">
        <is>
          <t>E0</t>
        </is>
      </c>
      <c r="C49" s="10" t="inlineStr">
        <is>
          <t>Premier League</t>
        </is>
      </c>
      <c r="D49" s="10" t="inlineStr">
        <is>
          <t>Example FC</t>
        </is>
      </c>
      <c r="E49" s="10" t="inlineStr">
        <is>
          <t>Sample United</t>
        </is>
      </c>
      <c r="F49" s="11" t="n">
        <v>3.87</v>
      </c>
      <c r="G49" s="11" t="n">
        <v>4.4</v>
      </c>
      <c r="J49" s="12" t="n">
        <v>0.63</v>
      </c>
      <c r="P49" s="11" t="n">
        <v>1.59</v>
      </c>
      <c r="V49" s="11" t="n">
        <v>2.7</v>
      </c>
      <c r="AI49" s="10" t="inlineStr">
        <is>
          <t>a referee</t>
        </is>
      </c>
      <c r="AJ49" s="11" t="n">
        <v>1.2</v>
      </c>
      <c r="AK49" s="10" t="n">
        <v>200</v>
      </c>
      <c r="AL49" s="10" t="n">
        <v>5</v>
      </c>
      <c r="AM49" s="10" t="inlineStr">
        <is>
          <t>Bet365</t>
        </is>
      </c>
      <c r="AN49" s="11" t="n">
        <v>3.5</v>
      </c>
      <c r="AO49" s="11" t="n">
        <v>1.8</v>
      </c>
      <c r="AP49" s="11" t="n">
        <v>2.05</v>
      </c>
      <c r="AQ49" s="12" t="n">
        <v>0.63</v>
      </c>
      <c r="AR49" s="11" t="n">
        <v>1.59</v>
      </c>
      <c r="AS49" s="11" t="n">
        <v>2.7</v>
      </c>
      <c r="AT49" s="12" t="n">
        <v>0.532</v>
      </c>
      <c r="AU49" s="12" t="n">
        <v>0.098</v>
      </c>
      <c r="AV49" s="10" t="inlineStr">
        <is>
          <t>OVER</t>
        </is>
      </c>
      <c r="AW49" s="12" t="n">
        <v>0.134</v>
      </c>
      <c r="AX49" s="10" t="inlineStr">
        <is>
          <t>WON</t>
        </is>
      </c>
      <c r="AY49" s="13" t="n">
        <v>0.8</v>
      </c>
      <c r="AZ49" s="14" t="inlineStr">
        <is>
          <t>5 yellows &gt; 3.5, so the OVER won at 1.80: +0.80 units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10" defaultColWidth="8.83203125" defaultRowHeight="15"/>
  <cols>
    <col width="32" customWidth="1" min="1" max="1"/>
    <col width="13" customWidth="1" min="2" max="2"/>
    <col width="62" customWidth="1" min="3" max="3"/>
  </cols>
  <sheetData>
    <row r="1">
      <c r="A1" s="15" t="inlineStr">
        <is>
          <t>Metric</t>
        </is>
      </c>
      <c r="B1" s="15" t="inlineStr">
        <is>
          <t>Value</t>
        </is>
      </c>
      <c r="C1" s="15" t="inlineStr">
        <is>
          <t>What it means</t>
        </is>
      </c>
    </row>
    <row r="2">
      <c r="A2" s="16" t="inlineStr">
        <is>
          <t>Matches predicted</t>
        </is>
      </c>
      <c r="B2" s="16">
        <f>COUNTA(Predictions!$D$2:$D$47)</f>
        <v/>
      </c>
      <c r="C2" s="17" t="n"/>
    </row>
    <row r="3">
      <c r="A3" s="16" t="inlineStr">
        <is>
          <t>Results entered</t>
        </is>
      </c>
      <c r="B3" s="16">
        <f>COUNT(Predictions!$AL$2:$AL$47)</f>
        <v/>
      </c>
      <c r="C3" s="17" t="inlineStr">
        <is>
          <t>Fill the yellow ACTUAL column in.</t>
        </is>
      </c>
    </row>
    <row r="4">
      <c r="A4" s="16" t="inlineStr">
        <is>
          <t>Mean predicted (filled rows)</t>
        </is>
      </c>
      <c r="B4" s="18">
        <f>IF(COUNT(Predictions!$AL$2:$AL$47)=0,"",SUMPRODUCT(--ISNUMBER(Predictions!$AL$2:$AL$47),Predictions!$G$2:$G$47)/COUNT(Predictions!$AL$2:$AL$47))</f>
        <v/>
      </c>
      <c r="C4" s="17" t="inlineStr">
        <is>
          <t>Averaged over only the matches you have entered.</t>
        </is>
      </c>
    </row>
    <row r="5">
      <c r="A5" s="16" t="inlineStr">
        <is>
          <t>Mean actual</t>
        </is>
      </c>
      <c r="B5" s="18">
        <f>IF(COUNT(Predictions!$AL$2:$AL$47)=0,"",AVERAGE(Predictions!$AL$2:$AL$47))</f>
        <v/>
      </c>
      <c r="C5" s="17" t="n"/>
    </row>
    <row r="6">
      <c r="A6" s="16" t="inlineStr">
        <is>
          <t>Bias (actual - predicted)</t>
        </is>
      </c>
      <c r="B6" s="18">
        <f>IF(COUNT(Predictions!$AL$2:$AL$47)=0,"",AVERAGE(Predictions!$AL$2:$AL$47)-SUMPRODUCT(--ISNUMBER(Predictions!$AL$2:$AL$47),Predictions!$G$2:$G$47)/COUNT(Predictions!$AL$2:$AL$47))</f>
        <v/>
      </c>
      <c r="C6" s="17" t="inlineStr">
        <is>
          <t>Positive = the model under-predicts cards.</t>
        </is>
      </c>
    </row>
    <row r="7">
      <c r="A7" s="16" t="inlineStr">
        <is>
          <t>Mean absolute error</t>
        </is>
      </c>
      <c r="B7" s="18">
        <f>IF(COUNT(Predictions!$AL$2:$AL$47)=0,"",SUMPRODUCT(--ISNUMBER(Predictions!$AL$2:$AL$47),ABS(Predictions!$AL$2:$AL$47-Predictions!$G$2:$G$47))/COUNT(Predictions!$AL$2:$AL$47))</f>
        <v/>
      </c>
      <c r="C7" s="17" t="inlineStr">
        <is>
          <t>Expect ~1.5. Match cards are genuinely noisy.</t>
        </is>
      </c>
    </row>
    <row r="8">
      <c r="A8" s="16" t="n"/>
      <c r="B8" s="16" t="n"/>
      <c r="C8" s="17" t="n"/>
    </row>
    <row r="9">
      <c r="A9" s="19" t="inlineStr">
        <is>
          <t>CALIBRATION -- THE NUMBER THAT MATTERS</t>
        </is>
      </c>
      <c r="B9" s="16" t="n"/>
      <c r="C9" s="17" t="n"/>
    </row>
    <row r="10">
      <c r="A10" s="16" t="inlineStr">
        <is>
          <t>Predicted over 3.5</t>
        </is>
      </c>
      <c r="B10" s="20">
        <f>IF(COUNT(Predictions!$AL$2:$AL$47)=0,"",SUMPRODUCT(--ISNUMBER(Predictions!$AL$2:$AL$47),Predictions!$J$2:$J$47)/COUNT(Predictions!$AL$2:$AL$47))</f>
        <v/>
      </c>
      <c r="C10" s="17" t="n"/>
    </row>
    <row r="11">
      <c r="A11" s="16" t="inlineStr">
        <is>
          <t>Actual share over 3.5</t>
        </is>
      </c>
      <c r="B11" s="20">
        <f>IF(COUNT(Predictions!$AL$2:$AL$47)=0,"",COUNTIF(Predictions!$AL$2:$AL$47,"&gt;3.5")/COUNT(Predictions!$AL$2:$AL$47))</f>
        <v/>
      </c>
      <c r="C11" s="17" t="n"/>
    </row>
    <row r="12">
      <c r="A12" s="16" t="inlineStr">
        <is>
          <t>Calibration gap</t>
        </is>
      </c>
      <c r="B12" s="20">
        <f>IF(COUNT(Predictions!$AL$2:$AL$47)=0,"",SUMPRODUCT(--ISNUMBER(Predictions!$AL$2:$AL$47),Predictions!$J$2:$J$47)/COUNT(Predictions!$AL$2:$AL$47)-COUNTIF(Predictions!$AL$2:$AL$47,"&gt;3.5")/COUNT(Predictions!$AL$2:$AL$47))</f>
        <v/>
      </c>
      <c r="C12" s="17" t="inlineStr">
        <is>
          <t>Near zero = well calibrated. This is the whole test.</t>
        </is>
      </c>
    </row>
    <row r="13">
      <c r="A13" s="16" t="inlineStr">
        <is>
          <t>Predicted over 2.5</t>
        </is>
      </c>
      <c r="B13" s="20">
        <f>IF(COUNT(Predictions!$AL$2:$AL$47)=0,"",SUMPRODUCT(--ISNUMBER(Predictions!$AL$2:$AL$47),Predictions!$I$2:$I$47)/COUNT(Predictions!$AL$2:$AL$47))</f>
        <v/>
      </c>
      <c r="C13" s="17" t="n"/>
    </row>
    <row r="14">
      <c r="A14" s="16" t="inlineStr">
        <is>
          <t>Actual share over 2.5</t>
        </is>
      </c>
      <c r="B14" s="20">
        <f>IF(COUNT(Predictions!$AL$2:$AL$47)=0,"",COUNTIF(Predictions!$AL$2:$AL$47,"&gt;2.5")/COUNT(Predictions!$AL$2:$AL$47))</f>
        <v/>
      </c>
      <c r="C14" s="17" t="n"/>
    </row>
    <row r="15">
      <c r="A15" s="16" t="inlineStr">
        <is>
          <t>Predicted over 4.5</t>
        </is>
      </c>
      <c r="B15" s="20">
        <f>IF(COUNT(Predictions!$AL$2:$AL$47)=0,"",SUMPRODUCT(--ISNUMBER(Predictions!$AL$2:$AL$47),Predictions!$K$2:$K$47)/COUNT(Predictions!$AL$2:$AL$47))</f>
        <v/>
      </c>
      <c r="C15" s="17" t="n"/>
    </row>
    <row r="16">
      <c r="A16" s="16" t="inlineStr">
        <is>
          <t>Actual share over 4.5</t>
        </is>
      </c>
      <c r="B16" s="20">
        <f>IF(COUNT(Predictions!$AL$2:$AL$47)=0,"",COUNTIF(Predictions!$AL$2:$AL$47,"&gt;4.5")/COUNT(Predictions!$AL$2:$AL$47))</f>
        <v/>
      </c>
      <c r="C16" s="17" t="n"/>
    </row>
    <row r="17">
      <c r="A17" s="16" t="n"/>
      <c r="B17" s="16" t="n"/>
      <c r="C17" s="17" t="n"/>
    </row>
    <row r="18">
      <c r="A18" s="19" t="inlineStr">
        <is>
          <t>BETTING -- ONLY IF YOU ENTERED PRICES</t>
        </is>
      </c>
      <c r="B18" s="16" t="n"/>
      <c r="C18" s="17" t="n"/>
    </row>
    <row r="19">
      <c r="A19" s="16" t="inlineStr">
        <is>
          <t>Bets the model would place</t>
        </is>
      </c>
      <c r="B19" s="16">
        <f>COUNTIF(Predictions!$AV$2:$AV$47,"OVER")+COUNTIF(Predictions!$AV$2:$AV$47,"UNDER")</f>
        <v/>
      </c>
      <c r="C19" s="17" t="inlineStr">
        <is>
          <t>Edge of 5 points or more. Most fixtures should be skips.</t>
        </is>
      </c>
    </row>
    <row r="20">
      <c r="A20" s="16" t="inlineStr">
        <is>
          <t xml:space="preserve">  of which OVER</t>
        </is>
      </c>
      <c r="B20" s="16">
        <f>COUNTIF(Predictions!$AV$2:$AV$47,"OVER")</f>
        <v/>
      </c>
      <c r="C20" s="17" t="n"/>
    </row>
    <row r="21">
      <c r="A21" s="16" t="inlineStr">
        <is>
          <t xml:space="preserve">  of which UNDER</t>
        </is>
      </c>
      <c r="B21" s="16">
        <f>COUNTIF(Predictions!$AV$2:$AV$47,"UNDER")</f>
        <v/>
      </c>
      <c r="C21" s="17" t="inlineStr">
        <is>
          <t>A model below the price is an edge too.</t>
        </is>
      </c>
    </row>
    <row r="22">
      <c r="A22" s="16" t="inlineStr">
        <is>
          <t>Bets settled</t>
        </is>
      </c>
      <c r="B22" s="16">
        <f>COUNTIF(Predictions!$AX$2:$AX$47,"WON")+COUNTIF(Predictions!$AX$2:$AX$47,"LOST")</f>
        <v/>
      </c>
      <c r="C22" s="17" t="n"/>
    </row>
    <row r="23">
      <c r="A23" s="16" t="inlineStr">
        <is>
          <t>Bets won</t>
        </is>
      </c>
      <c r="B23" s="16">
        <f>COUNTIF(Predictions!$AX$2:$AX$47,"WON")</f>
        <v/>
      </c>
      <c r="C23" s="17" t="n"/>
    </row>
    <row r="24">
      <c r="A24" s="16" t="inlineStr">
        <is>
          <t>Strike rate</t>
        </is>
      </c>
      <c r="B24" s="20">
        <f>IF(COUNTIF(Predictions!$AX$2:$AX$47,"WON")+COUNTIF(Predictions!$AX$2:$AX$47,"LOST")=0,"",COUNTIF(Predictions!$AX$2:$AX$47,"WON")/(COUNTIF(Predictions!$AX$2:$AX$47,"WON")+COUNTIF(Predictions!$AX$2:$AX$47,"LOST")))</f>
        <v/>
      </c>
      <c r="C24" s="17" t="inlineStr">
        <is>
          <t>Means nothing on its own -- a 40% strike rate at long prices wins.</t>
        </is>
      </c>
    </row>
    <row r="25">
      <c r="A25" s="16" t="inlineStr">
        <is>
          <t>Profit / loss (units)</t>
        </is>
      </c>
      <c r="B25" s="21">
        <f>IF(COUNT(Predictions!$AY$2:$AY$47)=0,"",SUM(Predictions!$AY$2:$AY$47))</f>
        <v/>
      </c>
      <c r="C25" s="17" t="inlineStr">
        <is>
          <t>One unit staked per bet. This is the number that matters.</t>
        </is>
      </c>
    </row>
    <row r="26">
      <c r="A26" s="19" t="inlineStr">
        <is>
          <t>ROI</t>
        </is>
      </c>
      <c r="B26" s="20">
        <f>IF(COUNTIF(Predictions!$AX$2:$AX$47,"WON")+COUNTIF(Predictions!$AX$2:$AX$47,"LOST")=0,"",SUM(Predictions!$AY$2:$AY$47)/(COUNTIF(Predictions!$AX$2:$AX$47,"WON")+COUNTIF(Predictions!$AX$2:$AX$47,"LOST")))</f>
        <v/>
      </c>
      <c r="C26" s="17" t="inlineStr">
        <is>
          <t>Over one weekend this is NOISE. A few hundred bets before it means anything.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10" defaultColWidth="8.83203125" defaultRowHeight="15"/>
  <cols>
    <col width="100" customWidth="1" min="1" max="1"/>
  </cols>
  <sheetData>
    <row r="1">
      <c r="A1" s="22" t="inlineStr">
        <is>
          <t>HOW TO USE THIS FILE</t>
        </is>
      </c>
    </row>
    <row r="2">
      <c r="A2" s="23" t="n"/>
    </row>
    <row r="3">
      <c r="A3" s="23" t="inlineStr">
        <is>
          <t>Yellow columns are yours to fill in. Everything else calculates.</t>
        </is>
      </c>
    </row>
    <row r="4">
      <c r="A4" s="23" t="inlineStr">
        <is>
          <t xml:space="preserve">  ACTUAL yellows -- both teams combined, YELLOW cards only.</t>
        </is>
      </c>
    </row>
    <row r="5">
      <c r="A5" s="23" t="inlineStr">
        <is>
          <t xml:space="preserve">  Bookmaker / Card line / Over price / Under price -- what you were offered.</t>
        </is>
      </c>
    </row>
    <row r="6">
      <c r="A6" s="23" t="inlineStr">
        <is>
          <t>Give BOTH prices where you can: with only one, the margin cannot be removed and your edge looks smaller than it is.</t>
        </is>
      </c>
    </row>
    <row r="7">
      <c r="A7" s="23" t="n"/>
    </row>
    <row r="8">
      <c r="A8" s="22" t="inlineStr">
        <is>
          <t>READING THE ODDS COLUMNS</t>
        </is>
      </c>
    </row>
    <row r="9" ht="30" customHeight="1">
      <c r="A9" s="23" t="inlineStr">
        <is>
          <t>Every probability is also shown as FAIR DECIMAL ODDS, which is 1 / probability -- the same form a bookmaker quotes.</t>
        </is>
      </c>
    </row>
    <row r="10">
      <c r="A10" s="23" t="inlineStr">
        <is>
          <t>A 50% chance is 2.00. A 67% chance is 1.50. A 25% chance is 4.00.</t>
        </is>
      </c>
    </row>
    <row r="11">
      <c r="A11" s="23" t="inlineStr">
        <is>
          <t>The comparison is then direct: if the bookmaker's price is LONGER than the model's fair price, that side is value.</t>
        </is>
      </c>
    </row>
    <row r="12">
      <c r="A12" s="23" t="inlineStr">
        <is>
          <t>Example: model fair under 3.5 = 2.11, bookmaker offers 2.34. 2.34 &gt; 2.11, so the under is value.</t>
        </is>
      </c>
    </row>
    <row r="13">
      <c r="A13" s="23" t="n"/>
    </row>
    <row r="14">
      <c r="A14" s="22" t="inlineStr">
        <is>
          <t>WHAT WAS PREDICTED, AND WITH WHAT</t>
        </is>
      </c>
    </row>
    <row r="15">
      <c r="A15" s="23" t="inlineStr">
        <is>
          <t>Negative binomial GLM, 38 features, trained on 51,823 matches to the end of 2025/26.</t>
        </is>
      </c>
    </row>
    <row r="16" ht="30" customHeight="1">
      <c r="A16" s="23" t="inlineStr">
        <is>
          <t>Premier League fixtures carry their real referee appointment. The EFL had not published its appointments when this was generated, so those 36 fixtures ran with the referee unknown.</t>
        </is>
      </c>
    </row>
    <row r="17" ht="30" customHeight="1">
      <c r="A17" s="23" t="inlineStr">
        <is>
          <t>That matters: referee features carry 47% of this model's value. The PL rows test the model at full strength; the EFL rows test it without its most important input.</t>
        </is>
      </c>
    </row>
    <row r="18" ht="30" customHeight="1">
      <c r="A18" s="23" t="inlineStr">
        <is>
          <t>No match odds were used as model inputs -- only partial prices were available and the margin cannot be removed from one side alone.</t>
        </is>
      </c>
    </row>
    <row r="19">
      <c r="A19" s="23" t="n"/>
    </row>
    <row r="20">
      <c r="A20" s="22" t="inlineStr">
        <is>
          <t>WHAT WOULD COUNT AS SUCCESS</t>
        </is>
      </c>
    </row>
    <row r="21">
      <c r="A21" s="23" t="inlineStr">
        <is>
          <t>Calibration gap within about 5 percentage points.</t>
        </is>
      </c>
    </row>
    <row r="22" ht="30" customHeight="1">
      <c r="A22" s="23" t="inlineStr">
        <is>
          <t>Mean absolute error near 1.5 cards is EXPECTED, not a failure: the match-level standard deviation of yellows is about 1.9.</t>
        </is>
      </c>
    </row>
    <row r="23">
      <c r="A23" s="23" t="inlineStr">
        <is>
          <t>Profit or loss over one weekend is noise. It is recorded so that a season of weekends eventually means something.</t>
        </is>
      </c>
    </row>
    <row r="24">
      <c r="A24" s="23" t="n"/>
    </row>
    <row r="25">
      <c r="A25" s="22" t="inlineStr">
        <is>
          <t>PROVENANCE</t>
        </is>
      </c>
    </row>
    <row r="26">
      <c r="A26" s="23" t="inlineStr">
        <is>
          <t>Generated 2026-09-18 09:12 UTC, before any of these matches kicked off.</t>
        </is>
      </c>
    </row>
    <row r="27" ht="30" customHeight="1">
      <c r="A27" s="23" t="inlineStr">
        <is>
          <t>Fixtures: ESPN, cross-checked against Sky Sports and the EFL news feed -- ESPN alone was missing two Friday/Thursday evening games.</t>
        </is>
      </c>
    </row>
    <row r="28">
      <c r="A28" s="23" t="inlineStr">
        <is>
          <t>Referees: premierleague.com Matchweek 5 officials.</t>
        </is>
      </c>
    </row>
    <row r="29" ht="30" customHeight="1">
      <c r="A29" s="23" t="inlineStr">
        <is>
          <t>These fixtures are the 2026/27 holdout. Generating predictions is not a holdout look. Scoring them is, and it will be logged.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D50"/>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4" customWidth="1" min="3" max="3"/>
    <col width="20" customWidth="1" min="4" max="4"/>
    <col width="20" customWidth="1" min="5" max="5"/>
    <col width="16" customWidth="1" min="6" max="6"/>
    <col width="11" customWidth="1" min="7" max="7"/>
    <col width="10" customWidth="1" min="8" max="8"/>
    <col width="10" customWidth="1" min="9" max="9"/>
    <col width="13" customWidth="1" min="10" max="10"/>
    <col width="13" customWidth="1" min="11" max="11"/>
    <col width="11" customWidth="1" min="12" max="12"/>
    <col width="10"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8" customWidth="1" min="23" max="23"/>
    <col width="8" customWidth="1" min="24" max="24"/>
    <col width="8" customWidth="1" min="25" max="25"/>
    <col width="8" customWidth="1" min="26" max="26"/>
    <col width="8" customWidth="1" min="27" max="27"/>
    <col width="8" customWidth="1" min="28" max="28"/>
    <col width="12" customWidth="1" min="29" max="29"/>
    <col width="12" customWidth="1" min="30" max="30"/>
    <col width="12" customWidth="1" min="31" max="31"/>
    <col width="12" customWidth="1" min="32" max="32"/>
    <col width="12" customWidth="1" min="33" max="33"/>
    <col width="12"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7" customWidth="1" min="42" max="42"/>
    <col width="9" customWidth="1" min="43" max="43"/>
    <col width="10" customWidth="1" min="44" max="44"/>
    <col width="11" customWidth="1" min="45" max="45"/>
    <col width="10" customWidth="1" min="46" max="46"/>
    <col width="13" customWidth="1" min="47" max="47"/>
    <col width="14" customWidth="1" min="48" max="48"/>
    <col width="8" customWidth="1" min="49" max="49"/>
    <col width="10" customWidth="1" min="50" max="50"/>
    <col width="9" customWidth="1" min="51" max="51"/>
    <col width="14" customWidth="1" min="52" max="52"/>
    <col width="8" customWidth="1" min="53" max="53"/>
    <col width="9" customWidth="1" min="54" max="54"/>
    <col width="12" customWidth="1" min="55" max="55"/>
    <col width="34" customWidth="1" min="56" max="56"/>
  </cols>
  <sheetData>
    <row r="1" ht="34" customHeight="1">
      <c r="A1" s="24" t="inlineStr">
        <is>
          <t>Date</t>
        </is>
      </c>
      <c r="B1" s="24" t="inlineStr">
        <is>
          <t>Div</t>
        </is>
      </c>
      <c r="C1" s="24" t="inlineStr">
        <is>
          <t>League</t>
        </is>
      </c>
      <c r="D1" s="24" t="inlineStr">
        <is>
          <t>Home</t>
        </is>
      </c>
      <c r="E1" s="24" t="inlineStr">
        <is>
          <t>Away</t>
        </is>
      </c>
      <c r="F1" s="25" t="inlineStr">
        <is>
          <t>Referee</t>
        </is>
      </c>
      <c r="G1" s="24" t="inlineStr">
        <is>
          <t>Ref matches</t>
        </is>
      </c>
      <c r="H1" s="24" t="inlineStr">
        <is>
          <t>Ref vs avg</t>
        </is>
      </c>
      <c r="I1" s="24" t="inlineStr">
        <is>
          <t>League avg</t>
        </is>
      </c>
      <c r="J1" s="24" t="inlineStr">
        <is>
          <t>Model expects</t>
        </is>
      </c>
      <c r="K1" s="24" t="inlineStr">
        <is>
          <t>vs league avg</t>
        </is>
      </c>
      <c r="L1" s="24" t="inlineStr">
        <is>
          <t>Most likely</t>
        </is>
      </c>
      <c r="M1" s="24" t="inlineStr">
        <is>
          <t>80% range</t>
        </is>
      </c>
      <c r="N1" s="24" t="inlineStr">
        <is>
          <t>P(0)</t>
        </is>
      </c>
      <c r="O1" s="24" t="inlineStr">
        <is>
          <t>P(1)</t>
        </is>
      </c>
      <c r="P1" s="24" t="inlineStr">
        <is>
          <t>P(2)</t>
        </is>
      </c>
      <c r="Q1" s="24" t="inlineStr">
        <is>
          <t>P(3)</t>
        </is>
      </c>
      <c r="R1" s="24" t="inlineStr">
        <is>
          <t>P(4)</t>
        </is>
      </c>
      <c r="S1" s="24" t="inlineStr">
        <is>
          <t>P(5)</t>
        </is>
      </c>
      <c r="T1" s="24" t="inlineStr">
        <is>
          <t>P(6)</t>
        </is>
      </c>
      <c r="U1" s="24" t="inlineStr">
        <is>
          <t>P(7)</t>
        </is>
      </c>
      <c r="V1" s="24" t="inlineStr">
        <is>
          <t>P(8)</t>
        </is>
      </c>
      <c r="W1" s="24" t="inlineStr">
        <is>
          <t>P(o1.5)</t>
        </is>
      </c>
      <c r="X1" s="24" t="inlineStr">
        <is>
          <t>P(o2.5)</t>
        </is>
      </c>
      <c r="Y1" s="24" t="inlineStr">
        <is>
          <t>P(o3.5)</t>
        </is>
      </c>
      <c r="Z1" s="24" t="inlineStr">
        <is>
          <t>P(o4.5)</t>
        </is>
      </c>
      <c r="AA1" s="24" t="inlineStr">
        <is>
          <t>P(o5.5)</t>
        </is>
      </c>
      <c r="AB1" s="24" t="inlineStr">
        <is>
          <t>P(o6.5)</t>
        </is>
      </c>
      <c r="AC1" s="24" t="inlineStr">
        <is>
          <t>FAIR over 1.5</t>
        </is>
      </c>
      <c r="AD1" s="24" t="inlineStr">
        <is>
          <t>FAIR over 2.5</t>
        </is>
      </c>
      <c r="AE1" s="24" t="inlineStr">
        <is>
          <t>FAIR over 3.5</t>
        </is>
      </c>
      <c r="AF1" s="24" t="inlineStr">
        <is>
          <t>FAIR over 4.5</t>
        </is>
      </c>
      <c r="AG1" s="24" t="inlineStr">
        <is>
          <t>FAIR over 5.5</t>
        </is>
      </c>
      <c r="AH1" s="24" t="inlineStr">
        <is>
          <t>FAIR over 6.5</t>
        </is>
      </c>
      <c r="AI1" s="24" t="inlineStr">
        <is>
          <t>FAIR under 1.5</t>
        </is>
      </c>
      <c r="AJ1" s="24" t="inlineStr">
        <is>
          <t>FAIR under 2.5</t>
        </is>
      </c>
      <c r="AK1" s="24" t="inlineStr">
        <is>
          <t>FAIR under 3.5</t>
        </is>
      </c>
      <c r="AL1" s="24" t="inlineStr">
        <is>
          <t>FAIR under 4.5</t>
        </is>
      </c>
      <c r="AM1" s="24" t="inlineStr">
        <is>
          <t>FAIR under 5.5</t>
        </is>
      </c>
      <c r="AN1" s="24" t="inlineStr">
        <is>
          <t>FAIR under 6.5</t>
        </is>
      </c>
      <c r="AO1" s="25" t="inlineStr">
        <is>
          <t>Bookmaker</t>
        </is>
      </c>
      <c r="AP1" s="25" t="inlineStr">
        <is>
          <t>Settles on</t>
        </is>
      </c>
      <c r="AQ1" s="25" t="inlineStr">
        <is>
          <t>Card line</t>
        </is>
      </c>
      <c r="AR1" s="25" t="inlineStr">
        <is>
          <t>Over price</t>
        </is>
      </c>
      <c r="AS1" s="25" t="inlineStr">
        <is>
          <t>Under price</t>
        </is>
      </c>
      <c r="AT1" s="25" t="inlineStr">
        <is>
          <t>Stake EUR</t>
        </is>
      </c>
      <c r="AU1" s="24" t="inlineStr">
        <is>
          <t>Model P(over)</t>
        </is>
      </c>
      <c r="AV1" s="24" t="inlineStr">
        <is>
          <t>Implied P(over)</t>
        </is>
      </c>
      <c r="AW1" s="24" t="inlineStr">
        <is>
          <t>Edge</t>
        </is>
      </c>
      <c r="AX1" s="24" t="inlineStr">
        <is>
          <t>BET?</t>
        </is>
      </c>
      <c r="AY1" s="24" t="inlineStr">
        <is>
          <t>EV EUR</t>
        </is>
      </c>
      <c r="AZ1" s="25" t="inlineStr">
        <is>
          <t>ACTUAL yellows</t>
        </is>
      </c>
      <c r="BA1" s="24" t="inlineStr">
        <is>
          <t>Won?</t>
        </is>
      </c>
      <c r="BB1" s="24" t="inlineStr">
        <is>
          <t>P/L EUR</t>
        </is>
      </c>
      <c r="BC1" s="24" t="inlineStr">
        <is>
          <t>Running P/L</t>
        </is>
      </c>
      <c r="BD1" s="25" t="inlineStr">
        <is>
          <t>Notes</t>
        </is>
      </c>
    </row>
    <row r="2">
      <c r="A2" s="26" t="inlineStr">
        <is>
          <t>2026-09-26</t>
        </is>
      </c>
      <c r="B2" s="26" t="inlineStr">
        <is>
          <t>E2</t>
        </is>
      </c>
      <c r="C2" s="26" t="inlineStr">
        <is>
          <t>League One</t>
        </is>
      </c>
      <c r="D2" s="26" t="inlineStr">
        <is>
          <t>Cambridge</t>
        </is>
      </c>
      <c r="E2" s="26" t="inlineStr">
        <is>
          <t>AFC Wimbledon</t>
        </is>
      </c>
      <c r="F2" s="27" t="inlineStr">
        <is>
          <t>not known</t>
        </is>
      </c>
      <c r="G2" s="26" t="n">
        <v>0</v>
      </c>
      <c r="H2" s="28" t="n"/>
      <c r="I2" s="29" t="n">
        <v>3.472222222222222</v>
      </c>
      <c r="J2" s="29" t="n">
        <v>3.289325166183198</v>
      </c>
      <c r="K2" s="30" t="n">
        <v>-0.0526743521392391</v>
      </c>
      <c r="L2" s="26" t="n">
        <v>3</v>
      </c>
      <c r="M2" s="26" t="inlineStr">
        <is>
          <t>1-5</t>
        </is>
      </c>
      <c r="N2" s="31" t="n">
        <v>0.04153661022668442</v>
      </c>
      <c r="O2" s="31" t="n">
        <v>0.1278382304613683</v>
      </c>
      <c r="P2" s="31" t="n">
        <v>0.2008372987654529</v>
      </c>
      <c r="Q2" s="31" t="n">
        <v>0.2146537933632891</v>
      </c>
      <c r="R2" s="31" t="n">
        <v>0.1755177378159682</v>
      </c>
      <c r="S2" s="31" t="n">
        <v>0.1170718262806028</v>
      </c>
      <c r="T2" s="31" t="n">
        <v>0.06632845176952512</v>
      </c>
      <c r="U2" s="31" t="n">
        <v>0.03282028244020434</v>
      </c>
      <c r="V2" s="31" t="n">
        <v>0.01447387332526355</v>
      </c>
      <c r="W2" s="28" t="n">
        <v>0.8306251593119474</v>
      </c>
      <c r="X2" s="28" t="n">
        <v>0.6297878605464944</v>
      </c>
      <c r="Y2" s="28" t="n">
        <v>0.4151340671832053</v>
      </c>
      <c r="Z2" s="28" t="n">
        <v>0.2396163293672371</v>
      </c>
      <c r="AA2" s="28" t="n">
        <v>0.1225445030866343</v>
      </c>
      <c r="AB2" s="28" t="n">
        <v>0.05621605131710927</v>
      </c>
      <c r="AC2" s="29" t="n">
        <v>1.203912485420445</v>
      </c>
      <c r="AD2" s="29" t="n">
        <v>1.587836258279504</v>
      </c>
      <c r="AE2" s="29" t="n">
        <v>2.408860363557404</v>
      </c>
      <c r="AF2" s="29" t="n">
        <v>4.173338280578514</v>
      </c>
      <c r="AG2" s="29" t="n">
        <v>8.160300746358551</v>
      </c>
      <c r="AH2" s="29" t="n">
        <v>17.78851371753412</v>
      </c>
      <c r="AI2" s="29" t="n">
        <v>5.904064593877655</v>
      </c>
      <c r="AJ2" s="29" t="n">
        <v>2.701153996398296</v>
      </c>
      <c r="AK2" s="29" t="n">
        <v>1.709793550778146</v>
      </c>
      <c r="AL2" s="29" t="n">
        <v>1.315125559137583</v>
      </c>
      <c r="AM2" s="29" t="n">
        <v>1.139658938279731</v>
      </c>
      <c r="AN2" s="29" t="n">
        <v>1.059564534230066</v>
      </c>
      <c r="AO2" s="27" t="n"/>
      <c r="AP2" s="27" t="n"/>
      <c r="AQ2" s="27" t="n"/>
      <c r="AR2" s="27" t="n"/>
      <c r="AS2" s="27" t="n"/>
      <c r="AT2" s="27" t="n">
        <v>100</v>
      </c>
      <c r="AU2" s="32">
        <f>IFERROR(IF($AQ2="","",INDEX($W2:$AB2,$AQ2-0.5)),"")</f>
        <v/>
      </c>
      <c r="AV2" s="32">
        <f>IF($AR2="","",IF($AS2="",1/$AR2,(1/$AR2)/((1/$AR2)+(1/$AS2))))</f>
        <v/>
      </c>
      <c r="AW2" s="32">
        <f>IF(OR($AU2="",$AV2=""),"",$AU2-$AV2)</f>
        <v/>
      </c>
      <c r="AX2" s="33">
        <f>IF($AW2="","",IF($AP2="","units?",IF(ISNUMBER(SEARCH("yellow",$AP2)),IF($AW2&gt;=0.05,"OVER",IF($AW2&lt;=-0.05,"UNDER","skip")),"UNITS?")))</f>
        <v/>
      </c>
      <c r="AY2" s="34">
        <f>IF(OR($AX2="",$AX2="skip",$AX2="units?",$AX2="UNITS?"),"",IF($AX2="OVER",$AT2*($AU2*$AR2-1),$AT2*((1-$AU2)*$AS2-1)))</f>
        <v/>
      </c>
      <c r="AZ2" s="27" t="n"/>
      <c r="BA2" s="33">
        <f>IF(OR($AX2="",$AX2="skip",$AX2="units?",$AX2="UNITS?",$AZ2="",$AQ2=""),"",IF($AX2="OVER",IF($AZ2&gt;$AQ2,"WON","LOST"),IF($AZ2&lt;$AQ2,"WON","LOST")))</f>
        <v/>
      </c>
      <c r="BB2" s="34">
        <f>IF($BA2="","",IF($BA2="WON",IF($AX2="OVER",$AT2*($AR2-1),$AT2*($AS2-1)),-$AT2))</f>
        <v/>
      </c>
      <c r="BC2" s="34">
        <f>IF(COUNT($BB$2:$BB2)=0,"",SUM($BB$2:$BB2))</f>
        <v/>
      </c>
      <c r="BD2" s="27" t="n"/>
    </row>
    <row r="3">
      <c r="A3" s="26" t="inlineStr">
        <is>
          <t>2026-09-26</t>
        </is>
      </c>
      <c r="B3" s="26" t="inlineStr">
        <is>
          <t>E2</t>
        </is>
      </c>
      <c r="C3" s="26" t="inlineStr">
        <is>
          <t>League One</t>
        </is>
      </c>
      <c r="D3" s="26" t="inlineStr">
        <is>
          <t>Plymouth</t>
        </is>
      </c>
      <c r="E3" s="26" t="inlineStr">
        <is>
          <t>Burton</t>
        </is>
      </c>
      <c r="F3" s="27" t="inlineStr">
        <is>
          <t>not known</t>
        </is>
      </c>
      <c r="G3" s="26" t="n">
        <v>0</v>
      </c>
      <c r="H3" s="28" t="n"/>
      <c r="I3" s="29" t="n">
        <v>3.472222222222222</v>
      </c>
      <c r="J3" s="29" t="n">
        <v>3.890149039155168</v>
      </c>
      <c r="K3" s="30" t="n">
        <v>0.1203629232766883</v>
      </c>
      <c r="L3" s="26" t="n">
        <v>3</v>
      </c>
      <c r="M3" s="26" t="inlineStr">
        <is>
          <t>1-6</t>
        </is>
      </c>
      <c r="N3" s="31" t="n">
        <v>0.02375229884063753</v>
      </c>
      <c r="O3" s="31" t="n">
        <v>0.0854518387933499</v>
      </c>
      <c r="P3" s="31" t="n">
        <v>0.15692462446769</v>
      </c>
      <c r="Q3" s="31" t="n">
        <v>0.1960520368534862</v>
      </c>
      <c r="R3" s="31" t="n">
        <v>0.1873871768537115</v>
      </c>
      <c r="S3" s="31" t="n">
        <v>0.146102387580781</v>
      </c>
      <c r="T3" s="31" t="n">
        <v>0.09675888264256971</v>
      </c>
      <c r="U3" s="31" t="n">
        <v>0.05596536789322262</v>
      </c>
      <c r="V3" s="31" t="n">
        <v>0.02885013705890107</v>
      </c>
      <c r="W3" s="28" t="n">
        <v>0.8907958623660126</v>
      </c>
      <c r="X3" s="28" t="n">
        <v>0.7338712378983225</v>
      </c>
      <c r="Y3" s="28" t="n">
        <v>0.5378192010448364</v>
      </c>
      <c r="Z3" s="28" t="n">
        <v>0.3504320241911248</v>
      </c>
      <c r="AA3" s="28" t="n">
        <v>0.2043296366103438</v>
      </c>
      <c r="AB3" s="28" t="n">
        <v>0.107570753967774</v>
      </c>
      <c r="AC3" s="29" t="n">
        <v>1.122591653427682</v>
      </c>
      <c r="AD3" s="29" t="n">
        <v>1.362636861016414</v>
      </c>
      <c r="AE3" s="29" t="n">
        <v>1.859360911728834</v>
      </c>
      <c r="AF3" s="29" t="n">
        <v>2.853620476919091</v>
      </c>
      <c r="AG3" s="29" t="n">
        <v>4.894052652317873</v>
      </c>
      <c r="AH3" s="29" t="n">
        <v>9.296207036901304</v>
      </c>
      <c r="AI3" s="29" t="n">
        <v>9.15716218877747</v>
      </c>
      <c r="AJ3" s="29" t="n">
        <v>3.757579572019122</v>
      </c>
      <c r="AK3" s="29" t="n">
        <v>2.163655440166848</v>
      </c>
      <c r="AL3" s="29" t="n">
        <v>1.53948476101327</v>
      </c>
      <c r="AM3" s="29" t="n">
        <v>1.256801869231215</v>
      </c>
      <c r="AN3" s="29" t="n">
        <v>1.120537011136779</v>
      </c>
      <c r="AO3" s="27" t="n"/>
      <c r="AP3" s="27" t="n"/>
      <c r="AQ3" s="27" t="n"/>
      <c r="AR3" s="27" t="n"/>
      <c r="AS3" s="27" t="n"/>
      <c r="AT3" s="27" t="n">
        <v>100</v>
      </c>
      <c r="AU3" s="32">
        <f>IFERROR(IF($AQ3="","",INDEX($W3:$AB3,$AQ3-0.5)),"")</f>
        <v/>
      </c>
      <c r="AV3" s="32">
        <f>IF($AR3="","",IF($AS3="",1/$AR3,(1/$AR3)/((1/$AR3)+(1/$AS3))))</f>
        <v/>
      </c>
      <c r="AW3" s="32">
        <f>IF(OR($AU3="",$AV3=""),"",$AU3-$AV3)</f>
        <v/>
      </c>
      <c r="AX3" s="33">
        <f>IF($AW3="","",IF($AP3="","units?",IF(ISNUMBER(SEARCH("yellow",$AP3)),IF($AW3&gt;=0.05,"OVER",IF($AW3&lt;=-0.05,"UNDER","skip")),"UNITS?")))</f>
        <v/>
      </c>
      <c r="AY3" s="34">
        <f>IF(OR($AX3="",$AX3="skip",$AX3="units?",$AX3="UNITS?"),"",IF($AX3="OVER",$AT3*($AU3*$AR3-1),$AT3*((1-$AU3)*$AS3-1)))</f>
        <v/>
      </c>
      <c r="AZ3" s="27" t="n"/>
      <c r="BA3" s="33">
        <f>IF(OR($AX3="",$AX3="skip",$AX3="units?",$AX3="UNITS?",$AZ3="",$AQ3=""),"",IF($AX3="OVER",IF($AZ3&gt;$AQ3,"WON","LOST"),IF($AZ3&lt;$AQ3,"WON","LOST")))</f>
        <v/>
      </c>
      <c r="BB3" s="34">
        <f>IF($BA3="","",IF($BA3="WON",IF($AX3="OVER",$AT3*($AR3-1),$AT3*($AS3-1)),-$AT3))</f>
        <v/>
      </c>
      <c r="BC3" s="34">
        <f>IF(COUNT($BB$2:$BB3)=0,"",SUM($BB$2:$BB3))</f>
        <v/>
      </c>
      <c r="BD3" s="27" t="n"/>
    </row>
    <row r="4">
      <c r="A4" s="26" t="inlineStr">
        <is>
          <t>2026-09-26</t>
        </is>
      </c>
      <c r="B4" s="26" t="inlineStr">
        <is>
          <t>E2</t>
        </is>
      </c>
      <c r="C4" s="26" t="inlineStr">
        <is>
          <t>League One</t>
        </is>
      </c>
      <c r="D4" s="26" t="inlineStr">
        <is>
          <t>Stockport</t>
        </is>
      </c>
      <c r="E4" s="26" t="inlineStr">
        <is>
          <t>Peterboro</t>
        </is>
      </c>
      <c r="F4" s="27" t="inlineStr">
        <is>
          <t>not known</t>
        </is>
      </c>
      <c r="G4" s="26" t="n">
        <v>0</v>
      </c>
      <c r="H4" s="28" t="n"/>
      <c r="I4" s="29" t="n">
        <v>3.472222222222222</v>
      </c>
      <c r="J4" s="29" t="n">
        <v>3.098576747918274</v>
      </c>
      <c r="K4" s="30" t="n">
        <v>-0.1076098965995372</v>
      </c>
      <c r="L4" s="26" t="n">
        <v>3</v>
      </c>
      <c r="M4" s="26" t="inlineStr">
        <is>
          <t>1-5</t>
        </is>
      </c>
      <c r="N4" s="31" t="n">
        <v>0.04966927813172286</v>
      </c>
      <c r="O4" s="31" t="n">
        <v>0.1445426972495613</v>
      </c>
      <c r="P4" s="31" t="n">
        <v>0.2147130211491994</v>
      </c>
      <c r="Q4" s="31" t="n">
        <v>0.216985736259735</v>
      </c>
      <c r="R4" s="31" t="n">
        <v>0.1677614759031135</v>
      </c>
      <c r="S4" s="31" t="n">
        <v>0.1058040338494758</v>
      </c>
      <c r="T4" s="31" t="n">
        <v>0.0566797987817786</v>
      </c>
      <c r="U4" s="31" t="n">
        <v>0.02651852478939308</v>
      </c>
      <c r="V4" s="31" t="n">
        <v>0.01105784304317155</v>
      </c>
      <c r="W4" s="28" t="n">
        <v>0.8057880246187158</v>
      </c>
      <c r="X4" s="28" t="n">
        <v>0.5910750034695164</v>
      </c>
      <c r="Y4" s="28" t="n">
        <v>0.3740892672097813</v>
      </c>
      <c r="Z4" s="28" t="n">
        <v>0.2063277913066679</v>
      </c>
      <c r="AA4" s="28" t="n">
        <v>0.1005237574571921</v>
      </c>
      <c r="AB4" s="28" t="n">
        <v>0.04384395867541346</v>
      </c>
      <c r="AC4" s="29" t="n">
        <v>1.241021173618436</v>
      </c>
      <c r="AD4" s="29" t="n">
        <v>1.691832667817382</v>
      </c>
      <c r="AE4" s="29" t="n">
        <v>2.673158755552378</v>
      </c>
      <c r="AF4" s="29" t="n">
        <v>4.846656835063416</v>
      </c>
      <c r="AG4" s="29" t="n">
        <v>9.947897146859523</v>
      </c>
      <c r="AH4" s="29" t="n">
        <v>22.8081594411495</v>
      </c>
      <c r="AI4" s="29" t="n">
        <v>5.149013072117528</v>
      </c>
      <c r="AJ4" s="29" t="n">
        <v>2.445436225431267</v>
      </c>
      <c r="AK4" s="29" t="n">
        <v>1.597671916476246</v>
      </c>
      <c r="AL4" s="29" t="n">
        <v>1.259966002395822</v>
      </c>
      <c r="AM4" s="29" t="n">
        <v>1.111758101773775</v>
      </c>
      <c r="AN4" s="29" t="n">
        <v>1.045854396960851</v>
      </c>
      <c r="AO4" s="27" t="n"/>
      <c r="AP4" s="27" t="n"/>
      <c r="AQ4" s="27" t="n"/>
      <c r="AR4" s="27" t="n"/>
      <c r="AS4" s="27" t="n"/>
      <c r="AT4" s="27" t="n">
        <v>100</v>
      </c>
      <c r="AU4" s="32">
        <f>IFERROR(IF($AQ4="","",INDEX($W4:$AB4,$AQ4-0.5)),"")</f>
        <v/>
      </c>
      <c r="AV4" s="32">
        <f>IF($AR4="","",IF($AS4="",1/$AR4,(1/$AR4)/((1/$AR4)+(1/$AS4))))</f>
        <v/>
      </c>
      <c r="AW4" s="32">
        <f>IF(OR($AU4="",$AV4=""),"",$AU4-$AV4)</f>
        <v/>
      </c>
      <c r="AX4" s="33">
        <f>IF($AW4="","",IF($AP4="","units?",IF(ISNUMBER(SEARCH("yellow",$AP4)),IF($AW4&gt;=0.05,"OVER",IF($AW4&lt;=-0.05,"UNDER","skip")),"UNITS?")))</f>
        <v/>
      </c>
      <c r="AY4" s="34">
        <f>IF(OR($AX4="",$AX4="skip",$AX4="units?",$AX4="UNITS?"),"",IF($AX4="OVER",$AT4*($AU4*$AR4-1),$AT4*((1-$AU4)*$AS4-1)))</f>
        <v/>
      </c>
      <c r="AZ4" s="27" t="n"/>
      <c r="BA4" s="33">
        <f>IF(OR($AX4="",$AX4="skip",$AX4="units?",$AX4="UNITS?",$AZ4="",$AQ4=""),"",IF($AX4="OVER",IF($AZ4&gt;$AQ4,"WON","LOST"),IF($AZ4&lt;$AQ4,"WON","LOST")))</f>
        <v/>
      </c>
      <c r="BB4" s="34">
        <f>IF($BA4="","",IF($BA4="WON",IF($AX4="OVER",$AT4*($AR4-1),$AT4*($AS4-1)),-$AT4))</f>
        <v/>
      </c>
      <c r="BC4" s="34">
        <f>IF(COUNT($BB$2:$BB4)=0,"",SUM($BB$2:$BB4))</f>
        <v/>
      </c>
      <c r="BD4" s="27" t="n"/>
    </row>
    <row r="5">
      <c r="A5" s="26" t="inlineStr">
        <is>
          <t>2026-09-26</t>
        </is>
      </c>
      <c r="B5" s="26" t="inlineStr">
        <is>
          <t>E2</t>
        </is>
      </c>
      <c r="C5" s="26" t="inlineStr">
        <is>
          <t>League One</t>
        </is>
      </c>
      <c r="D5" s="26" t="inlineStr">
        <is>
          <t>Wycombe</t>
        </is>
      </c>
      <c r="E5" s="26" t="inlineStr">
        <is>
          <t>Reading</t>
        </is>
      </c>
      <c r="F5" s="27" t="inlineStr">
        <is>
          <t>not known</t>
        </is>
      </c>
      <c r="G5" s="26" t="n">
        <v>0</v>
      </c>
      <c r="H5" s="28" t="n"/>
      <c r="I5" s="29" t="n">
        <v>3.472222222222222</v>
      </c>
      <c r="J5" s="29" t="n">
        <v>3.442715886149748</v>
      </c>
      <c r="K5" s="30" t="n">
        <v>-0.008497824788872732</v>
      </c>
      <c r="L5" s="26" t="n">
        <v>3</v>
      </c>
      <c r="M5" s="26" t="inlineStr">
        <is>
          <t>1-5</t>
        </is>
      </c>
      <c r="N5" s="31" t="n">
        <v>0.03599092783437825</v>
      </c>
      <c r="O5" s="31" t="n">
        <v>0.1155889288251183</v>
      </c>
      <c r="P5" s="31" t="n">
        <v>0.1894930810163485</v>
      </c>
      <c r="Q5" s="31" t="n">
        <v>0.2113396823627093</v>
      </c>
      <c r="R5" s="31" t="n">
        <v>0.1803254366266395</v>
      </c>
      <c r="S5" s="31" t="n">
        <v>0.1255110231462327</v>
      </c>
      <c r="T5" s="31" t="n">
        <v>0.07420323404562959</v>
      </c>
      <c r="U5" s="31" t="n">
        <v>0.03831411379503388</v>
      </c>
      <c r="V5" s="31" t="n">
        <v>0.01763172221760719</v>
      </c>
      <c r="W5" s="28" t="n">
        <v>0.8484201433405034</v>
      </c>
      <c r="X5" s="28" t="n">
        <v>0.658927062324155</v>
      </c>
      <c r="Y5" s="28" t="n">
        <v>0.4475873799614456</v>
      </c>
      <c r="Z5" s="28" t="n">
        <v>0.2672619433348061</v>
      </c>
      <c r="AA5" s="28" t="n">
        <v>0.1417509201885734</v>
      </c>
      <c r="AB5" s="28" t="n">
        <v>0.06754768614294382</v>
      </c>
      <c r="AC5" s="29" t="n">
        <v>1.178661312852236</v>
      </c>
      <c r="AD5" s="29" t="n">
        <v>1.517618651862346</v>
      </c>
      <c r="AE5" s="29" t="n">
        <v>2.234200615947077</v>
      </c>
      <c r="AF5" s="29" t="n">
        <v>3.741647566886369</v>
      </c>
      <c r="AG5" s="29" t="n">
        <v>7.05462792530507</v>
      </c>
      <c r="AH5" s="29" t="n">
        <v>14.80435610901325</v>
      </c>
      <c r="AI5" s="29" t="n">
        <v>6.597182647074032</v>
      </c>
      <c r="AJ5" s="29" t="n">
        <v>2.931924200184999</v>
      </c>
      <c r="AK5" s="29" t="n">
        <v>1.810241047589042</v>
      </c>
      <c r="AL5" s="29" t="n">
        <v>1.364744182322339</v>
      </c>
      <c r="AM5" s="29" t="n">
        <v>1.165162915432101</v>
      </c>
      <c r="AN5" s="29" t="n">
        <v>1.072440901415682</v>
      </c>
      <c r="AO5" s="27" t="n"/>
      <c r="AP5" s="27" t="n"/>
      <c r="AQ5" s="27" t="n"/>
      <c r="AR5" s="27" t="n"/>
      <c r="AS5" s="27" t="n"/>
      <c r="AT5" s="27" t="n">
        <v>100</v>
      </c>
      <c r="AU5" s="32">
        <f>IFERROR(IF($AQ5="","",INDEX($W5:$AB5,$AQ5-0.5)),"")</f>
        <v/>
      </c>
      <c r="AV5" s="32">
        <f>IF($AR5="","",IF($AS5="",1/$AR5,(1/$AR5)/((1/$AR5)+(1/$AS5))))</f>
        <v/>
      </c>
      <c r="AW5" s="32">
        <f>IF(OR($AU5="",$AV5=""),"",$AU5-$AV5)</f>
        <v/>
      </c>
      <c r="AX5" s="33">
        <f>IF($AW5="","",IF($AP5="","units?",IF(ISNUMBER(SEARCH("yellow",$AP5)),IF($AW5&gt;=0.05,"OVER",IF($AW5&lt;=-0.05,"UNDER","skip")),"UNITS?")))</f>
        <v/>
      </c>
      <c r="AY5" s="34">
        <f>IF(OR($AX5="",$AX5="skip",$AX5="units?",$AX5="UNITS?"),"",IF($AX5="OVER",$AT5*($AU5*$AR5-1),$AT5*((1-$AU5)*$AS5-1)))</f>
        <v/>
      </c>
      <c r="AZ5" s="27" t="n"/>
      <c r="BA5" s="33">
        <f>IF(OR($AX5="",$AX5="skip",$AX5="units?",$AX5="UNITS?",$AZ5="",$AQ5=""),"",IF($AX5="OVER",IF($AZ5&gt;$AQ5,"WON","LOST"),IF($AZ5&lt;$AQ5,"WON","LOST")))</f>
        <v/>
      </c>
      <c r="BB5" s="34">
        <f>IF($BA5="","",IF($BA5="WON",IF($AX5="OVER",$AT5*($AR5-1),$AT5*($AS5-1)),-$AT5))</f>
        <v/>
      </c>
      <c r="BC5" s="34">
        <f>IF(COUNT($BB$2:$BB5)=0,"",SUM($BB$2:$BB5))</f>
        <v/>
      </c>
      <c r="BD5" s="27" t="n"/>
    </row>
    <row r="6">
      <c r="A6" s="26" t="inlineStr">
        <is>
          <t>2026-09-26</t>
        </is>
      </c>
      <c r="B6" s="26" t="inlineStr">
        <is>
          <t>E3</t>
        </is>
      </c>
      <c r="C6" s="26" t="inlineStr">
        <is>
          <t>League Two</t>
        </is>
      </c>
      <c r="D6" s="26" t="inlineStr">
        <is>
          <t>Bristol Rvs</t>
        </is>
      </c>
      <c r="E6" s="26" t="inlineStr">
        <is>
          <t>Exeter</t>
        </is>
      </c>
      <c r="F6" s="27" t="inlineStr">
        <is>
          <t>not known</t>
        </is>
      </c>
      <c r="G6" s="26" t="n">
        <v>0</v>
      </c>
      <c r="H6" s="28" t="n"/>
      <c r="I6" s="29" t="n">
        <v>3.944444444444445</v>
      </c>
      <c r="J6" s="29" t="n">
        <v>4.132477614255593</v>
      </c>
      <c r="K6" s="30" t="n">
        <v>0.04767038107888255</v>
      </c>
      <c r="L6" s="26" t="n">
        <v>4</v>
      </c>
      <c r="M6" s="26" t="inlineStr">
        <is>
          <t>1-6</t>
        </is>
      </c>
      <c r="N6" s="31" t="n">
        <v>0.01899348869749633</v>
      </c>
      <c r="O6" s="31" t="n">
        <v>0.07224955957154593</v>
      </c>
      <c r="P6" s="31" t="n">
        <v>0.1402876974119978</v>
      </c>
      <c r="Q6" s="31" t="n">
        <v>0.1853166945871978</v>
      </c>
      <c r="R6" s="31" t="n">
        <v>0.1872827390406429</v>
      </c>
      <c r="S6" s="31" t="n">
        <v>0.1543938136750537</v>
      </c>
      <c r="T6" s="31" t="n">
        <v>0.1081130510629067</v>
      </c>
      <c r="U6" s="31" t="n">
        <v>0.0661182483974864</v>
      </c>
      <c r="V6" s="31" t="n">
        <v>0.03603832147343904</v>
      </c>
      <c r="W6" s="28" t="n">
        <v>0.9087569517309577</v>
      </c>
      <c r="X6" s="28" t="n">
        <v>0.76846925431896</v>
      </c>
      <c r="Y6" s="28" t="n">
        <v>0.5831525597317621</v>
      </c>
      <c r="Z6" s="28" t="n">
        <v>0.3958698206911191</v>
      </c>
      <c r="AA6" s="28" t="n">
        <v>0.2414760070160654</v>
      </c>
      <c r="AB6" s="28" t="n">
        <v>0.1333629559531587</v>
      </c>
      <c r="AC6" s="29" t="n">
        <v>1.100404236903219</v>
      </c>
      <c r="AD6" s="29" t="n">
        <v>1.301288235514678</v>
      </c>
      <c r="AE6" s="29" t="n">
        <v>1.71481713200398</v>
      </c>
      <c r="AF6" s="29" t="n">
        <v>2.526082938714994</v>
      </c>
      <c r="AG6" s="29" t="n">
        <v>4.141198176817086</v>
      </c>
      <c r="AH6" s="29" t="n">
        <v>7.49833409774774</v>
      </c>
      <c r="AI6" s="29" t="n">
        <v>10.95973905925816</v>
      </c>
      <c r="AJ6" s="29" t="n">
        <v>4.319080807425956</v>
      </c>
      <c r="AK6" s="29" t="n">
        <v>2.398959195614847</v>
      </c>
      <c r="AL6" s="29" t="n">
        <v>1.655272380439577</v>
      </c>
      <c r="AM6" s="29" t="n">
        <v>1.318349860056674</v>
      </c>
      <c r="AN6" s="29" t="n">
        <v>1.153885593593378</v>
      </c>
      <c r="AO6" s="27" t="n"/>
      <c r="AP6" s="27" t="n"/>
      <c r="AQ6" s="27" t="n"/>
      <c r="AR6" s="27" t="n"/>
      <c r="AS6" s="27" t="n"/>
      <c r="AT6" s="27" t="n">
        <v>100</v>
      </c>
      <c r="AU6" s="32">
        <f>IFERROR(IF($AQ6="","",INDEX($W6:$AB6,$AQ6-0.5)),"")</f>
        <v/>
      </c>
      <c r="AV6" s="32">
        <f>IF($AR6="","",IF($AS6="",1/$AR6,(1/$AR6)/((1/$AR6)+(1/$AS6))))</f>
        <v/>
      </c>
      <c r="AW6" s="32">
        <f>IF(OR($AU6="",$AV6=""),"",$AU6-$AV6)</f>
        <v/>
      </c>
      <c r="AX6" s="33">
        <f>IF($AW6="","",IF($AP6="","units?",IF(ISNUMBER(SEARCH("yellow",$AP6)),IF($AW6&gt;=0.05,"OVER",IF($AW6&lt;=-0.05,"UNDER","skip")),"UNITS?")))</f>
        <v/>
      </c>
      <c r="AY6" s="34">
        <f>IF(OR($AX6="",$AX6="skip",$AX6="units?",$AX6="UNITS?"),"",IF($AX6="OVER",$AT6*($AU6*$AR6-1),$AT6*((1-$AU6)*$AS6-1)))</f>
        <v/>
      </c>
      <c r="AZ6" s="27" t="n"/>
      <c r="BA6" s="33">
        <f>IF(OR($AX6="",$AX6="skip",$AX6="units?",$AX6="UNITS?",$AZ6="",$AQ6=""),"",IF($AX6="OVER",IF($AZ6&gt;$AQ6,"WON","LOST"),IF($AZ6&lt;$AQ6,"WON","LOST")))</f>
        <v/>
      </c>
      <c r="BB6" s="34">
        <f>IF($BA6="","",IF($BA6="WON",IF($AX6="OVER",$AT6*($AR6-1),$AT6*($AS6-1)),-$AT6))</f>
        <v/>
      </c>
      <c r="BC6" s="34">
        <f>IF(COUNT($BB$2:$BB6)=0,"",SUM($BB$2:$BB6))</f>
        <v/>
      </c>
      <c r="BD6" s="27" t="n"/>
    </row>
    <row r="7">
      <c r="A7" s="26" t="inlineStr">
        <is>
          <t>2026-09-26</t>
        </is>
      </c>
      <c r="B7" s="26" t="inlineStr">
        <is>
          <t>E3</t>
        </is>
      </c>
      <c r="C7" s="26" t="inlineStr">
        <is>
          <t>League Two</t>
        </is>
      </c>
      <c r="D7" s="26" t="inlineStr">
        <is>
          <t>Cheltenham</t>
        </is>
      </c>
      <c r="E7" s="26" t="inlineStr">
        <is>
          <t>Chesterfield</t>
        </is>
      </c>
      <c r="F7" s="27" t="inlineStr">
        <is>
          <t>not known</t>
        </is>
      </c>
      <c r="G7" s="26" t="n">
        <v>0</v>
      </c>
      <c r="H7" s="28" t="n"/>
      <c r="I7" s="29" t="n">
        <v>3.944444444444445</v>
      </c>
      <c r="J7" s="29" t="n">
        <v>3.743316424126105</v>
      </c>
      <c r="K7" s="30" t="n">
        <v>-0.05099020233422702</v>
      </c>
      <c r="L7" s="26" t="n">
        <v>3</v>
      </c>
      <c r="M7" s="26" t="inlineStr">
        <is>
          <t>0-5</t>
        </is>
      </c>
      <c r="N7" s="31" t="n">
        <v>0.02721215436587866</v>
      </c>
      <c r="O7" s="31" t="n">
        <v>0.09447205997704582</v>
      </c>
      <c r="P7" s="31" t="n">
        <v>0.167416310371261</v>
      </c>
      <c r="Q7" s="31" t="n">
        <v>0.201837901744763</v>
      </c>
      <c r="R7" s="31" t="n">
        <v>0.1861640968983338</v>
      </c>
      <c r="S7" s="31" t="n">
        <v>0.1400677229249185</v>
      </c>
      <c r="T7" s="31" t="n">
        <v>0.08951509881167047</v>
      </c>
      <c r="U7" s="31" t="n">
        <v>0.04996311527289864</v>
      </c>
      <c r="V7" s="31" t="n">
        <v>0.02485436791171724</v>
      </c>
      <c r="W7" s="28" t="n">
        <v>0.8783157856570756</v>
      </c>
      <c r="X7" s="28" t="n">
        <v>0.7108994752858145</v>
      </c>
      <c r="Y7" s="28" t="n">
        <v>0.5090615735410515</v>
      </c>
      <c r="Z7" s="28" t="n">
        <v>0.3228974766427177</v>
      </c>
      <c r="AA7" s="28" t="n">
        <v>0.1828297537177993</v>
      </c>
      <c r="AB7" s="28" t="n">
        <v>0.09331465490612878</v>
      </c>
      <c r="AC7" s="29" t="n">
        <v>1.138542670335694</v>
      </c>
      <c r="AD7" s="29" t="n">
        <v>1.406668642705009</v>
      </c>
      <c r="AE7" s="29" t="n">
        <v>1.964398909632802</v>
      </c>
      <c r="AF7" s="29" t="n">
        <v>3.096958237014928</v>
      </c>
      <c r="AG7" s="29" t="n">
        <v>5.469569255907418</v>
      </c>
      <c r="AH7" s="29" t="n">
        <v>10.71643035068784</v>
      </c>
      <c r="AI7" s="29" t="n">
        <v>8.217992821828553</v>
      </c>
      <c r="AJ7" s="29" t="n">
        <v>3.459004444867867</v>
      </c>
      <c r="AK7" s="29" t="n">
        <v>2.036915315863177</v>
      </c>
      <c r="AL7" s="29" t="n">
        <v>1.476881218876121</v>
      </c>
      <c r="AM7" s="29" t="n">
        <v>1.22373520640234</v>
      </c>
      <c r="AN7" s="29" t="n">
        <v>1.102918455019771</v>
      </c>
      <c r="AO7" s="27" t="n"/>
      <c r="AP7" s="27" t="n"/>
      <c r="AQ7" s="27" t="n"/>
      <c r="AR7" s="27" t="n"/>
      <c r="AS7" s="27" t="n"/>
      <c r="AT7" s="27" t="n">
        <v>100</v>
      </c>
      <c r="AU7" s="32">
        <f>IFERROR(IF($AQ7="","",INDEX($W7:$AB7,$AQ7-0.5)),"")</f>
        <v/>
      </c>
      <c r="AV7" s="32">
        <f>IF($AR7="","",IF($AS7="",1/$AR7,(1/$AR7)/((1/$AR7)+(1/$AS7))))</f>
        <v/>
      </c>
      <c r="AW7" s="32">
        <f>IF(OR($AU7="",$AV7=""),"",$AU7-$AV7)</f>
        <v/>
      </c>
      <c r="AX7" s="33">
        <f>IF($AW7="","",IF($AP7="","units?",IF(ISNUMBER(SEARCH("yellow",$AP7)),IF($AW7&gt;=0.05,"OVER",IF($AW7&lt;=-0.05,"UNDER","skip")),"UNITS?")))</f>
        <v/>
      </c>
      <c r="AY7" s="34">
        <f>IF(OR($AX7="",$AX7="skip",$AX7="units?",$AX7="UNITS?"),"",IF($AX7="OVER",$AT7*($AU7*$AR7-1),$AT7*((1-$AU7)*$AS7-1)))</f>
        <v/>
      </c>
      <c r="AZ7" s="27" t="n"/>
      <c r="BA7" s="33">
        <f>IF(OR($AX7="",$AX7="skip",$AX7="units?",$AX7="UNITS?",$AZ7="",$AQ7=""),"",IF($AX7="OVER",IF($AZ7&gt;$AQ7,"WON","LOST"),IF($AZ7&lt;$AQ7,"WON","LOST")))</f>
        <v/>
      </c>
      <c r="BB7" s="34">
        <f>IF($BA7="","",IF($BA7="WON",IF($AX7="OVER",$AT7*($AR7-1),$AT7*($AS7-1)),-$AT7))</f>
        <v/>
      </c>
      <c r="BC7" s="34">
        <f>IF(COUNT($BB$2:$BB7)=0,"",SUM($BB$2:$BB7))</f>
        <v/>
      </c>
      <c r="BD7" s="27" t="n"/>
    </row>
    <row r="8">
      <c r="A8" s="26" t="inlineStr">
        <is>
          <t>2026-09-26</t>
        </is>
      </c>
      <c r="B8" s="26" t="inlineStr">
        <is>
          <t>E3</t>
        </is>
      </c>
      <c r="C8" s="26" t="inlineStr">
        <is>
          <t>League Two</t>
        </is>
      </c>
      <c r="D8" s="26" t="inlineStr">
        <is>
          <t>Fleetwood Town</t>
        </is>
      </c>
      <c r="E8" s="26" t="inlineStr">
        <is>
          <t>Rochdale</t>
        </is>
      </c>
      <c r="F8" s="27" t="inlineStr">
        <is>
          <t>not known</t>
        </is>
      </c>
      <c r="G8" s="26" t="n">
        <v>0</v>
      </c>
      <c r="H8" s="28" t="n"/>
      <c r="I8" s="29" t="n">
        <v>3.944444444444445</v>
      </c>
      <c r="J8" s="29" t="n">
        <v>3.803863558246142</v>
      </c>
      <c r="K8" s="30" t="n">
        <v>-0.03564022466999206</v>
      </c>
      <c r="L8" s="26" t="n">
        <v>3</v>
      </c>
      <c r="M8" s="26" t="inlineStr">
        <is>
          <t>0-5</t>
        </is>
      </c>
      <c r="N8" s="31" t="n">
        <v>0.02572705251403077</v>
      </c>
      <c r="O8" s="31" t="n">
        <v>0.09065451713766508</v>
      </c>
      <c r="P8" s="31" t="n">
        <v>0.1630582536601907</v>
      </c>
      <c r="Q8" s="31" t="n">
        <v>0.1995293095177963</v>
      </c>
      <c r="R8" s="31" t="n">
        <v>0.1867922534445548</v>
      </c>
      <c r="S8" s="31" t="n">
        <v>0.1426461184585814</v>
      </c>
      <c r="T8" s="31" t="n">
        <v>0.09252884523654314</v>
      </c>
      <c r="U8" s="31" t="n">
        <v>0.0524190701522175</v>
      </c>
      <c r="V8" s="31" t="n">
        <v>0.02646680287762022</v>
      </c>
      <c r="W8" s="28" t="n">
        <v>0.8836184303483041</v>
      </c>
      <c r="X8" s="28" t="n">
        <v>0.7205601766881135</v>
      </c>
      <c r="Y8" s="28" t="n">
        <v>0.5210308671703172</v>
      </c>
      <c r="Z8" s="28" t="n">
        <v>0.3342386137257624</v>
      </c>
      <c r="AA8" s="28" t="n">
        <v>0.1915924952671809</v>
      </c>
      <c r="AB8" s="28" t="n">
        <v>0.09906365003063777</v>
      </c>
      <c r="AC8" s="29" t="n">
        <v>1.131710210713713</v>
      </c>
      <c r="AD8" s="29" t="n">
        <v>1.387809141210476</v>
      </c>
      <c r="AE8" s="29" t="n">
        <v>1.919272087335115</v>
      </c>
      <c r="AF8" s="29" t="n">
        <v>2.991874543916355</v>
      </c>
      <c r="AG8" s="29" t="n">
        <v>5.219411118402487</v>
      </c>
      <c r="AH8" s="29" t="n">
        <v>10.0945200352574</v>
      </c>
      <c r="AI8" s="29" t="n">
        <v>8.592425785223359</v>
      </c>
      <c r="AJ8" s="29" t="n">
        <v>3.578588005632564</v>
      </c>
      <c r="AK8" s="29" t="n">
        <v>2.087817212963473</v>
      </c>
      <c r="AL8" s="29" t="n">
        <v>1.502039650566463</v>
      </c>
      <c r="AM8" s="29" t="n">
        <v>1.236999896890496</v>
      </c>
      <c r="AN8" s="29" t="n">
        <v>1.109956324921296</v>
      </c>
      <c r="AO8" s="27" t="n"/>
      <c r="AP8" s="27" t="n"/>
      <c r="AQ8" s="27" t="n"/>
      <c r="AR8" s="27" t="n"/>
      <c r="AS8" s="27" t="n"/>
      <c r="AT8" s="27" t="n">
        <v>100</v>
      </c>
      <c r="AU8" s="32">
        <f>IFERROR(IF($AQ8="","",INDEX($W8:$AB8,$AQ8-0.5)),"")</f>
        <v/>
      </c>
      <c r="AV8" s="32">
        <f>IF($AR8="","",IF($AS8="",1/$AR8,(1/$AR8)/((1/$AR8)+(1/$AS8))))</f>
        <v/>
      </c>
      <c r="AW8" s="32">
        <f>IF(OR($AU8="",$AV8=""),"",$AU8-$AV8)</f>
        <v/>
      </c>
      <c r="AX8" s="33">
        <f>IF($AW8="","",IF($AP8="","units?",IF(ISNUMBER(SEARCH("yellow",$AP8)),IF($AW8&gt;=0.05,"OVER",IF($AW8&lt;=-0.05,"UNDER","skip")),"UNITS?")))</f>
        <v/>
      </c>
      <c r="AY8" s="34">
        <f>IF(OR($AX8="",$AX8="skip",$AX8="units?",$AX8="UNITS?"),"",IF($AX8="OVER",$AT8*($AU8*$AR8-1),$AT8*((1-$AU8)*$AS8-1)))</f>
        <v/>
      </c>
      <c r="AZ8" s="27" t="n"/>
      <c r="BA8" s="33">
        <f>IF(OR($AX8="",$AX8="skip",$AX8="units?",$AX8="UNITS?",$AZ8="",$AQ8=""),"",IF($AX8="OVER",IF($AZ8&gt;$AQ8,"WON","LOST"),IF($AZ8&lt;$AQ8,"WON","LOST")))</f>
        <v/>
      </c>
      <c r="BB8" s="34">
        <f>IF($BA8="","",IF($BA8="WON",IF($AX8="OVER",$AT8*($AR8-1),$AT8*($AS8-1)),-$AT8))</f>
        <v/>
      </c>
      <c r="BC8" s="34">
        <f>IF(COUNT($BB$2:$BB8)=0,"",SUM($BB$2:$BB8))</f>
        <v/>
      </c>
      <c r="BD8" s="27" t="n"/>
    </row>
    <row r="9">
      <c r="A9" s="26" t="inlineStr">
        <is>
          <t>2026-09-26</t>
        </is>
      </c>
      <c r="B9" s="26" t="inlineStr">
        <is>
          <t>E3</t>
        </is>
      </c>
      <c r="C9" s="26" t="inlineStr">
        <is>
          <t>League Two</t>
        </is>
      </c>
      <c r="D9" s="26" t="inlineStr">
        <is>
          <t>Newport County</t>
        </is>
      </c>
      <c r="E9" s="26" t="inlineStr">
        <is>
          <t>Grimsby</t>
        </is>
      </c>
      <c r="F9" s="27" t="inlineStr">
        <is>
          <t>not known</t>
        </is>
      </c>
      <c r="G9" s="26" t="n">
        <v>0</v>
      </c>
      <c r="H9" s="28" t="n"/>
      <c r="I9" s="29" t="n">
        <v>3.944444444444445</v>
      </c>
      <c r="J9" s="29" t="n">
        <v>3.951010701673985</v>
      </c>
      <c r="K9" s="30" t="n">
        <v>0.001664684931432792</v>
      </c>
      <c r="L9" s="26" t="n">
        <v>3</v>
      </c>
      <c r="M9" s="26" t="inlineStr">
        <is>
          <t>1-6</t>
        </is>
      </c>
      <c r="N9" s="31" t="n">
        <v>0.02245306915157847</v>
      </c>
      <c r="O9" s="31" t="n">
        <v>0.08194506740272584</v>
      </c>
      <c r="P9" s="31" t="n">
        <v>0.1526595020285814</v>
      </c>
      <c r="Q9" s="31" t="n">
        <v>0.1934797159608328</v>
      </c>
      <c r="R9" s="31" t="n">
        <v>0.1876010607919963</v>
      </c>
      <c r="S9" s="31" t="n">
        <v>0.148382974854516</v>
      </c>
      <c r="T9" s="31" t="n">
        <v>0.09968939130824399</v>
      </c>
      <c r="U9" s="31" t="n">
        <v>0.0584936607227403</v>
      </c>
      <c r="V9" s="31" t="n">
        <v>0.03058923800374037</v>
      </c>
      <c r="W9" s="28" t="n">
        <v>0.8956018634456957</v>
      </c>
      <c r="X9" s="28" t="n">
        <v>0.7429423614171142</v>
      </c>
      <c r="Y9" s="28" t="n">
        <v>0.5494626454562814</v>
      </c>
      <c r="Z9" s="28" t="n">
        <v>0.3618615846642851</v>
      </c>
      <c r="AA9" s="28" t="n">
        <v>0.2134786098097691</v>
      </c>
      <c r="AB9" s="28" t="n">
        <v>0.1137892185015251</v>
      </c>
      <c r="AC9" s="29" t="n">
        <v>1.116567574069853</v>
      </c>
      <c r="AD9" s="29" t="n">
        <v>1.345999436743067</v>
      </c>
      <c r="AE9" s="29" t="n">
        <v>1.819959934072654</v>
      </c>
      <c r="AF9" s="29" t="n">
        <v>2.763487594096909</v>
      </c>
      <c r="AG9" s="29" t="n">
        <v>4.684310062217009</v>
      </c>
      <c r="AH9" s="29" t="n">
        <v>8.788178820180551</v>
      </c>
      <c r="AI9" s="29" t="n">
        <v>9.578715032713584</v>
      </c>
      <c r="AJ9" s="29" t="n">
        <v>3.890178115355088</v>
      </c>
      <c r="AK9" s="29" t="n">
        <v>2.21957178448111</v>
      </c>
      <c r="AL9" s="29" t="n">
        <v>1.567058142823004</v>
      </c>
      <c r="AM9" s="29" t="n">
        <v>1.271421238471514</v>
      </c>
      <c r="AN9" s="29" t="n">
        <v>1.128399722590963</v>
      </c>
      <c r="AO9" s="27" t="n"/>
      <c r="AP9" s="27" t="n"/>
      <c r="AQ9" s="27" t="n"/>
      <c r="AR9" s="27" t="n"/>
      <c r="AS9" s="27" t="n"/>
      <c r="AT9" s="27" t="n">
        <v>100</v>
      </c>
      <c r="AU9" s="32">
        <f>IFERROR(IF($AQ9="","",INDEX($W9:$AB9,$AQ9-0.5)),"")</f>
        <v/>
      </c>
      <c r="AV9" s="32">
        <f>IF($AR9="","",IF($AS9="",1/$AR9,(1/$AR9)/((1/$AR9)+(1/$AS9))))</f>
        <v/>
      </c>
      <c r="AW9" s="32">
        <f>IF(OR($AU9="",$AV9=""),"",$AU9-$AV9)</f>
        <v/>
      </c>
      <c r="AX9" s="33">
        <f>IF($AW9="","",IF($AP9="","units?",IF(ISNUMBER(SEARCH("yellow",$AP9)),IF($AW9&gt;=0.05,"OVER",IF($AW9&lt;=-0.05,"UNDER","skip")),"UNITS?")))</f>
        <v/>
      </c>
      <c r="AY9" s="34">
        <f>IF(OR($AX9="",$AX9="skip",$AX9="units?",$AX9="UNITS?"),"",IF($AX9="OVER",$AT9*($AU9*$AR9-1),$AT9*((1-$AU9)*$AS9-1)))</f>
        <v/>
      </c>
      <c r="AZ9" s="27" t="n"/>
      <c r="BA9" s="33">
        <f>IF(OR($AX9="",$AX9="skip",$AX9="units?",$AX9="UNITS?",$AZ9="",$AQ9=""),"",IF($AX9="OVER",IF($AZ9&gt;$AQ9,"WON","LOST"),IF($AZ9&lt;$AQ9,"WON","LOST")))</f>
        <v/>
      </c>
      <c r="BB9" s="34">
        <f>IF($BA9="","",IF($BA9="WON",IF($AX9="OVER",$AT9*($AR9-1),$AT9*($AS9-1)),-$AT9))</f>
        <v/>
      </c>
      <c r="BC9" s="34">
        <f>IF(COUNT($BB$2:$BB9)=0,"",SUM($BB$2:$BB9))</f>
        <v/>
      </c>
      <c r="BD9" s="27" t="n"/>
    </row>
    <row r="10">
      <c r="A10" s="26" t="inlineStr">
        <is>
          <t>2026-09-26</t>
        </is>
      </c>
      <c r="B10" s="26" t="inlineStr">
        <is>
          <t>E3</t>
        </is>
      </c>
      <c r="C10" s="26" t="inlineStr">
        <is>
          <t>League Two</t>
        </is>
      </c>
      <c r="D10" s="26" t="inlineStr">
        <is>
          <t>Oldham</t>
        </is>
      </c>
      <c r="E10" s="26" t="inlineStr">
        <is>
          <t>Salford</t>
        </is>
      </c>
      <c r="F10" s="27" t="inlineStr">
        <is>
          <t>not known</t>
        </is>
      </c>
      <c r="G10" s="26" t="n">
        <v>0</v>
      </c>
      <c r="H10" s="28" t="n"/>
      <c r="I10" s="29" t="n">
        <v>3.944444444444445</v>
      </c>
      <c r="J10" s="29" t="n">
        <v>3.988892656406128</v>
      </c>
      <c r="K10" s="30" t="n">
        <v>0.01126856077901817</v>
      </c>
      <c r="L10" s="26" t="n">
        <v>3</v>
      </c>
      <c r="M10" s="26" t="inlineStr">
        <is>
          <t>1-6</t>
        </is>
      </c>
      <c r="N10" s="31" t="n">
        <v>0.0216812515521691</v>
      </c>
      <c r="O10" s="31" t="n">
        <v>0.07982851849571937</v>
      </c>
      <c r="P10" s="31" t="n">
        <v>0.1500326265601378</v>
      </c>
      <c r="Q10" s="31" t="n">
        <v>0.1918332702393027</v>
      </c>
      <c r="R10" s="31" t="n">
        <v>0.1876507900946615</v>
      </c>
      <c r="S10" s="31" t="n">
        <v>0.1497358525355113</v>
      </c>
      <c r="T10" s="31" t="n">
        <v>0.1014886062630259</v>
      </c>
      <c r="U10" s="31" t="n">
        <v>0.06007638118362885</v>
      </c>
      <c r="V10" s="31" t="n">
        <v>0.03169496228556746</v>
      </c>
      <c r="W10" s="28" t="n">
        <v>0.8984902299521116</v>
      </c>
      <c r="X10" s="28" t="n">
        <v>0.7484576033919736</v>
      </c>
      <c r="Y10" s="28" t="n">
        <v>0.556624333152671</v>
      </c>
      <c r="Z10" s="28" t="n">
        <v>0.3689735430580096</v>
      </c>
      <c r="AA10" s="28" t="n">
        <v>0.2192376905224982</v>
      </c>
      <c r="AB10" s="28" t="n">
        <v>0.1177490842594723</v>
      </c>
      <c r="AC10" s="29" t="n">
        <v>1.112978156761147</v>
      </c>
      <c r="AD10" s="29" t="n">
        <v>1.336081022449433</v>
      </c>
      <c r="AE10" s="29" t="n">
        <v>1.796543809603307</v>
      </c>
      <c r="AF10" s="29" t="n">
        <v>2.710221420517354</v>
      </c>
      <c r="AG10" s="29" t="n">
        <v>4.561259506140345</v>
      </c>
      <c r="AH10" s="29" t="n">
        <v>8.492635049257764</v>
      </c>
      <c r="AI10" s="29" t="n">
        <v>9.851268498867039</v>
      </c>
      <c r="AJ10" s="29" t="n">
        <v>3.97547297586689</v>
      </c>
      <c r="AK10" s="29" t="n">
        <v>2.255423729296218</v>
      </c>
      <c r="AL10" s="29" t="n">
        <v>1.584719608819712</v>
      </c>
      <c r="AM10" s="29" t="n">
        <v>1.280799531254545</v>
      </c>
      <c r="AN10" s="29" t="n">
        <v>1.13346439449217</v>
      </c>
      <c r="AO10" s="27" t="n"/>
      <c r="AP10" s="27" t="n"/>
      <c r="AQ10" s="27" t="n"/>
      <c r="AR10" s="27" t="n"/>
      <c r="AS10" s="27" t="n"/>
      <c r="AT10" s="27" t="n">
        <v>100</v>
      </c>
      <c r="AU10" s="32">
        <f>IFERROR(IF($AQ10="","",INDEX($W10:$AB10,$AQ10-0.5)),"")</f>
        <v/>
      </c>
      <c r="AV10" s="32">
        <f>IF($AR10="","",IF($AS10="",1/$AR10,(1/$AR10)/((1/$AR10)+(1/$AS10))))</f>
        <v/>
      </c>
      <c r="AW10" s="32">
        <f>IF(OR($AU10="",$AV10=""),"",$AU10-$AV10)</f>
        <v/>
      </c>
      <c r="AX10" s="33">
        <f>IF($AW10="","",IF($AP10="","units?",IF(ISNUMBER(SEARCH("yellow",$AP10)),IF($AW10&gt;=0.05,"OVER",IF($AW10&lt;=-0.05,"UNDER","skip")),"UNITS?")))</f>
        <v/>
      </c>
      <c r="AY10" s="34">
        <f>IF(OR($AX10="",$AX10="skip",$AX10="units?",$AX10="UNITS?"),"",IF($AX10="OVER",$AT10*($AU10*$AR10-1),$AT10*((1-$AU10)*$AS10-1)))</f>
        <v/>
      </c>
      <c r="AZ10" s="27" t="n"/>
      <c r="BA10" s="33">
        <f>IF(OR($AX10="",$AX10="skip",$AX10="units?",$AX10="UNITS?",$AZ10="",$AQ10=""),"",IF($AX10="OVER",IF($AZ10&gt;$AQ10,"WON","LOST"),IF($AZ10&lt;$AQ10,"WON","LOST")))</f>
        <v/>
      </c>
      <c r="BB10" s="34">
        <f>IF($BA10="","",IF($BA10="WON",IF($AX10="OVER",$AT10*($AR10-1),$AT10*($AS10-1)),-$AT10))</f>
        <v/>
      </c>
      <c r="BC10" s="34">
        <f>IF(COUNT($BB$2:$BB10)=0,"",SUM($BB$2:$BB10))</f>
        <v/>
      </c>
      <c r="BD10" s="27" t="n"/>
    </row>
    <row r="11">
      <c r="A11" s="26" t="inlineStr">
        <is>
          <t>2026-09-26</t>
        </is>
      </c>
      <c r="B11" s="26" t="inlineStr">
        <is>
          <t>E3</t>
        </is>
      </c>
      <c r="C11" s="26" t="inlineStr">
        <is>
          <t>League Two</t>
        </is>
      </c>
      <c r="D11" s="26" t="inlineStr">
        <is>
          <t>Rotherham</t>
        </is>
      </c>
      <c r="E11" s="26" t="inlineStr">
        <is>
          <t>Crewe</t>
        </is>
      </c>
      <c r="F11" s="27" t="inlineStr">
        <is>
          <t>not known</t>
        </is>
      </c>
      <c r="G11" s="26" t="n">
        <v>0</v>
      </c>
      <c r="H11" s="28" t="n"/>
      <c r="I11" s="29" t="n">
        <v>3.944444444444445</v>
      </c>
      <c r="J11" s="29" t="n">
        <v>3.779473526757345</v>
      </c>
      <c r="K11" s="30" t="n">
        <v>-0.04182361293475756</v>
      </c>
      <c r="L11" s="26" t="n">
        <v>3</v>
      </c>
      <c r="M11" s="26" t="inlineStr">
        <is>
          <t>0-5</t>
        </is>
      </c>
      <c r="N11" s="31" t="n">
        <v>0.02631507779845588</v>
      </c>
      <c r="O11" s="31" t="n">
        <v>0.09217551938536964</v>
      </c>
      <c r="P11" s="31" t="n">
        <v>0.1648088201229892</v>
      </c>
      <c r="Q11" s="31" t="n">
        <v>0.2004729966614404</v>
      </c>
      <c r="R11" s="31" t="n">
        <v>0.1865604424645629</v>
      </c>
      <c r="S11" s="31" t="n">
        <v>0.1416224748267896</v>
      </c>
      <c r="T11" s="31" t="n">
        <v>0.09131894427642613</v>
      </c>
      <c r="U11" s="31" t="n">
        <v>0.05142621625734514</v>
      </c>
      <c r="V11" s="31" t="n">
        <v>0.0258112038534315</v>
      </c>
      <c r="W11" s="28" t="n">
        <v>0.8815094028161745</v>
      </c>
      <c r="X11" s="28" t="n">
        <v>0.7167005826931853</v>
      </c>
      <c r="Y11" s="28" t="n">
        <v>0.5162275860317449</v>
      </c>
      <c r="Z11" s="28" t="n">
        <v>0.3296671435671821</v>
      </c>
      <c r="AA11" s="28" t="n">
        <v>0.1880446687403925</v>
      </c>
      <c r="AB11" s="28" t="n">
        <v>0.09672572446396632</v>
      </c>
      <c r="AC11" s="29" t="n">
        <v>1.1344178483012</v>
      </c>
      <c r="AD11" s="29" t="n">
        <v>1.395282805885611</v>
      </c>
      <c r="AE11" s="29" t="n">
        <v>1.937130109002943</v>
      </c>
      <c r="AF11" s="29" t="n">
        <v>3.03336264930573</v>
      </c>
      <c r="AG11" s="29" t="n">
        <v>5.3178854082833</v>
      </c>
      <c r="AH11" s="29" t="n">
        <v>10.33851134785281</v>
      </c>
      <c r="AI11" s="29" t="n">
        <v>8.439488227480252</v>
      </c>
      <c r="AJ11" s="29" t="n">
        <v>3.529834298660046</v>
      </c>
      <c r="AK11" s="29" t="n">
        <v>2.067087686536875</v>
      </c>
      <c r="AL11" s="29" t="n">
        <v>1.491796188122881</v>
      </c>
      <c r="AM11" s="29" t="n">
        <v>1.231594844569434</v>
      </c>
      <c r="AN11" s="29" t="n">
        <v>1.107083448608747</v>
      </c>
      <c r="AO11" s="27" t="n"/>
      <c r="AP11" s="27" t="n"/>
      <c r="AQ11" s="27" t="n"/>
      <c r="AR11" s="27" t="n"/>
      <c r="AS11" s="27" t="n"/>
      <c r="AT11" s="27" t="n">
        <v>100</v>
      </c>
      <c r="AU11" s="32">
        <f>IFERROR(IF($AQ11="","",INDEX($W11:$AB11,$AQ11-0.5)),"")</f>
        <v/>
      </c>
      <c r="AV11" s="32">
        <f>IF($AR11="","",IF($AS11="",1/$AR11,(1/$AR11)/((1/$AR11)+(1/$AS11))))</f>
        <v/>
      </c>
      <c r="AW11" s="32">
        <f>IF(OR($AU11="",$AV11=""),"",$AU11-$AV11)</f>
        <v/>
      </c>
      <c r="AX11" s="33">
        <f>IF($AW11="","",IF($AP11="","units?",IF(ISNUMBER(SEARCH("yellow",$AP11)),IF($AW11&gt;=0.05,"OVER",IF($AW11&lt;=-0.05,"UNDER","skip")),"UNITS?")))</f>
        <v/>
      </c>
      <c r="AY11" s="34">
        <f>IF(OR($AX11="",$AX11="skip",$AX11="units?",$AX11="UNITS?"),"",IF($AX11="OVER",$AT11*($AU11*$AR11-1),$AT11*((1-$AU11)*$AS11-1)))</f>
        <v/>
      </c>
      <c r="AZ11" s="27" t="n"/>
      <c r="BA11" s="33">
        <f>IF(OR($AX11="",$AX11="skip",$AX11="units?",$AX11="UNITS?",$AZ11="",$AQ11=""),"",IF($AX11="OVER",IF($AZ11&gt;$AQ11,"WON","LOST"),IF($AZ11&lt;$AQ11,"WON","LOST")))</f>
        <v/>
      </c>
      <c r="BB11" s="34">
        <f>IF($BA11="","",IF($BA11="WON",IF($AX11="OVER",$AT11*($AR11-1),$AT11*($AS11-1)),-$AT11))</f>
        <v/>
      </c>
      <c r="BC11" s="34">
        <f>IF(COUNT($BB$2:$BB11)=0,"",SUM($BB$2:$BB11))</f>
        <v/>
      </c>
      <c r="BD11" s="27" t="n"/>
    </row>
    <row r="12">
      <c r="A12" s="26" t="inlineStr">
        <is>
          <t>2026-09-26</t>
        </is>
      </c>
      <c r="B12" s="26" t="inlineStr">
        <is>
          <t>E3</t>
        </is>
      </c>
      <c r="C12" s="26" t="inlineStr">
        <is>
          <t>League Two</t>
        </is>
      </c>
      <c r="D12" s="26" t="inlineStr">
        <is>
          <t>Shrewsbury</t>
        </is>
      </c>
      <c r="E12" s="26" t="inlineStr">
        <is>
          <t>Colchester</t>
        </is>
      </c>
      <c r="F12" s="27" t="inlineStr">
        <is>
          <t>not known</t>
        </is>
      </c>
      <c r="G12" s="26" t="n">
        <v>0</v>
      </c>
      <c r="H12" s="28" t="n"/>
      <c r="I12" s="29" t="n">
        <v>3.944444444444445</v>
      </c>
      <c r="J12" s="29" t="n">
        <v>3.661687497053693</v>
      </c>
      <c r="K12" s="30" t="n">
        <v>-0.07168485990188078</v>
      </c>
      <c r="L12" s="26" t="n">
        <v>3</v>
      </c>
      <c r="M12" s="26" t="inlineStr">
        <is>
          <t>0-5</t>
        </is>
      </c>
      <c r="N12" s="31" t="n">
        <v>0.02935401358792699</v>
      </c>
      <c r="O12" s="31" t="n">
        <v>0.09984364979446908</v>
      </c>
      <c r="P12" s="31" t="n">
        <v>0.1733513896203132</v>
      </c>
      <c r="Q12" s="31" t="n">
        <v>0.2047598400637181</v>
      </c>
      <c r="R12" s="31" t="n">
        <v>0.1850335515430969</v>
      </c>
      <c r="S12" s="31" t="n">
        <v>0.1363970957888725</v>
      </c>
      <c r="T12" s="31" t="n">
        <v>0.08540353519482435</v>
      </c>
      <c r="U12" s="31" t="n">
        <v>0.04670265390096463</v>
      </c>
      <c r="V12" s="31" t="n">
        <v>0.02276183503908508</v>
      </c>
      <c r="W12" s="28" t="n">
        <v>0.8708023366176039</v>
      </c>
      <c r="X12" s="28" t="n">
        <v>0.6974509469972907</v>
      </c>
      <c r="Y12" s="28" t="n">
        <v>0.4926911069335727</v>
      </c>
      <c r="Z12" s="28" t="n">
        <v>0.3076575553904758</v>
      </c>
      <c r="AA12" s="28" t="n">
        <v>0.1712604596016032</v>
      </c>
      <c r="AB12" s="28" t="n">
        <v>0.08585692440677883</v>
      </c>
      <c r="AC12" s="29" t="n">
        <v>1.148366234160819</v>
      </c>
      <c r="AD12" s="29" t="n">
        <v>1.43379259043989</v>
      </c>
      <c r="AE12" s="29" t="n">
        <v>2.02966927132871</v>
      </c>
      <c r="AF12" s="29" t="n">
        <v>3.250367112651631</v>
      </c>
      <c r="AG12" s="29" t="n">
        <v>5.839059420523935</v>
      </c>
      <c r="AH12" s="29" t="n">
        <v>11.64728421043982</v>
      </c>
      <c r="AI12" s="29" t="n">
        <v>7.740078061940053</v>
      </c>
      <c r="AJ12" s="29" t="n">
        <v>3.305249149105898</v>
      </c>
      <c r="AK12" s="29" t="n">
        <v>1.971185630032035</v>
      </c>
      <c r="AL12" s="29" t="n">
        <v>1.444371940194989</v>
      </c>
      <c r="AM12" s="29" t="n">
        <v>1.206651729829705</v>
      </c>
      <c r="AN12" s="29" t="n">
        <v>1.09392066373315</v>
      </c>
      <c r="AO12" s="27" t="n"/>
      <c r="AP12" s="27" t="n"/>
      <c r="AQ12" s="27" t="n"/>
      <c r="AR12" s="27" t="n"/>
      <c r="AS12" s="27" t="n"/>
      <c r="AT12" s="27" t="n">
        <v>100</v>
      </c>
      <c r="AU12" s="32">
        <f>IFERROR(IF($AQ12="","",INDEX($W12:$AB12,$AQ12-0.5)),"")</f>
        <v/>
      </c>
      <c r="AV12" s="32">
        <f>IF($AR12="","",IF($AS12="",1/$AR12,(1/$AR12)/((1/$AR12)+(1/$AS12))))</f>
        <v/>
      </c>
      <c r="AW12" s="32">
        <f>IF(OR($AU12="",$AV12=""),"",$AU12-$AV12)</f>
        <v/>
      </c>
      <c r="AX12" s="33">
        <f>IF($AW12="","",IF($AP12="","units?",IF(ISNUMBER(SEARCH("yellow",$AP12)),IF($AW12&gt;=0.05,"OVER",IF($AW12&lt;=-0.05,"UNDER","skip")),"UNITS?")))</f>
        <v/>
      </c>
      <c r="AY12" s="34">
        <f>IF(OR($AX12="",$AX12="skip",$AX12="units?",$AX12="UNITS?"),"",IF($AX12="OVER",$AT12*($AU12*$AR12-1),$AT12*((1-$AU12)*$AS12-1)))</f>
        <v/>
      </c>
      <c r="AZ12" s="27" t="n"/>
      <c r="BA12" s="33">
        <f>IF(OR($AX12="",$AX12="skip",$AX12="units?",$AX12="UNITS?",$AZ12="",$AQ12=""),"",IF($AX12="OVER",IF($AZ12&gt;$AQ12,"WON","LOST"),IF($AZ12&lt;$AQ12,"WON","LOST")))</f>
        <v/>
      </c>
      <c r="BB12" s="34">
        <f>IF($BA12="","",IF($BA12="WON",IF($AX12="OVER",$AT12*($AR12-1),$AT12*($AS12-1)),-$AT12))</f>
        <v/>
      </c>
      <c r="BC12" s="34">
        <f>IF(COUNT($BB$2:$BB12)=0,"",SUM($BB$2:$BB12))</f>
        <v/>
      </c>
      <c r="BD12" s="27" t="n"/>
    </row>
    <row r="13">
      <c r="A13" s="26" t="inlineStr">
        <is>
          <t>2026-09-26</t>
        </is>
      </c>
      <c r="B13" s="26" t="inlineStr">
        <is>
          <t>E3</t>
        </is>
      </c>
      <c r="C13" s="26" t="inlineStr">
        <is>
          <t>League Two</t>
        </is>
      </c>
      <c r="D13" s="26" t="inlineStr">
        <is>
          <t>Swindon</t>
        </is>
      </c>
      <c r="E13" s="26" t="inlineStr">
        <is>
          <t>Accrington</t>
        </is>
      </c>
      <c r="F13" s="27" t="inlineStr">
        <is>
          <t>not known</t>
        </is>
      </c>
      <c r="G13" s="26" t="n">
        <v>0</v>
      </c>
      <c r="H13" s="28" t="n"/>
      <c r="I13" s="29" t="n">
        <v>3.944444444444445</v>
      </c>
      <c r="J13" s="29" t="n">
        <v>3.655552285793862</v>
      </c>
      <c r="K13" s="30" t="n">
        <v>-0.07324026557338714</v>
      </c>
      <c r="L13" s="26" t="n">
        <v>3</v>
      </c>
      <c r="M13" s="26" t="inlineStr">
        <is>
          <t>1-5</t>
        </is>
      </c>
      <c r="N13" s="31" t="n">
        <v>0.02952179071426797</v>
      </c>
      <c r="O13" s="31" t="n">
        <v>0.1002580176697927</v>
      </c>
      <c r="P13" s="31" t="n">
        <v>0.1737998716302122</v>
      </c>
      <c r="Q13" s="31" t="n">
        <v>0.2049700299025294</v>
      </c>
      <c r="R13" s="31" t="n">
        <v>0.1849351766488166</v>
      </c>
      <c r="S13" s="31" t="n">
        <v>0.1361123787230974</v>
      </c>
      <c r="T13" s="31" t="n">
        <v>0.08509260274331201</v>
      </c>
      <c r="U13" s="31" t="n">
        <v>0.04646018968662033</v>
      </c>
      <c r="V13" s="31" t="n">
        <v>0.0226084166814375</v>
      </c>
      <c r="W13" s="28" t="n">
        <v>0.8702201916159393</v>
      </c>
      <c r="X13" s="28" t="n">
        <v>0.6964203199857272</v>
      </c>
      <c r="Y13" s="28" t="n">
        <v>0.4914502900831978</v>
      </c>
      <c r="Z13" s="28" t="n">
        <v>0.3065151134343813</v>
      </c>
      <c r="AA13" s="28" t="n">
        <v>0.170402734711284</v>
      </c>
      <c r="AB13" s="28" t="n">
        <v>0.08531013196797199</v>
      </c>
      <c r="AC13" s="29" t="n">
        <v>1.149134448538902</v>
      </c>
      <c r="AD13" s="29" t="n">
        <v>1.435914448935802</v>
      </c>
      <c r="AE13" s="29" t="n">
        <v>2.034793793347257</v>
      </c>
      <c r="AF13" s="29" t="n">
        <v>3.262481868497097</v>
      </c>
      <c r="AG13" s="29" t="n">
        <v>5.86845041949776</v>
      </c>
      <c r="AH13" s="29" t="n">
        <v>11.72193708920097</v>
      </c>
      <c r="AI13" s="29" t="n">
        <v>7.705358887883967</v>
      </c>
      <c r="AJ13" s="29" t="n">
        <v>3.294028111344557</v>
      </c>
      <c r="AK13" s="29" t="n">
        <v>1.966376109355363</v>
      </c>
      <c r="AL13" s="29" t="n">
        <v>1.441992492370457</v>
      </c>
      <c r="AM13" s="29" t="n">
        <v>1.205404166384252</v>
      </c>
      <c r="AN13" s="29" t="n">
        <v>1.093266728920392</v>
      </c>
      <c r="AO13" s="27" t="n"/>
      <c r="AP13" s="27" t="n"/>
      <c r="AQ13" s="27" t="n"/>
      <c r="AR13" s="27" t="n"/>
      <c r="AS13" s="27" t="n"/>
      <c r="AT13" s="27" t="n">
        <v>100</v>
      </c>
      <c r="AU13" s="32">
        <f>IFERROR(IF($AQ13="","",INDEX($W13:$AB13,$AQ13-0.5)),"")</f>
        <v/>
      </c>
      <c r="AV13" s="32">
        <f>IF($AR13="","",IF($AS13="",1/$AR13,(1/$AR13)/((1/$AR13)+(1/$AS13))))</f>
        <v/>
      </c>
      <c r="AW13" s="32">
        <f>IF(OR($AU13="",$AV13=""),"",$AU13-$AV13)</f>
        <v/>
      </c>
      <c r="AX13" s="33">
        <f>IF($AW13="","",IF($AP13="","units?",IF(ISNUMBER(SEARCH("yellow",$AP13)),IF($AW13&gt;=0.05,"OVER",IF($AW13&lt;=-0.05,"UNDER","skip")),"UNITS?")))</f>
        <v/>
      </c>
      <c r="AY13" s="34">
        <f>IF(OR($AX13="",$AX13="skip",$AX13="units?",$AX13="UNITS?"),"",IF($AX13="OVER",$AT13*($AU13*$AR13-1),$AT13*((1-$AU13)*$AS13-1)))</f>
        <v/>
      </c>
      <c r="AZ13" s="27" t="n"/>
      <c r="BA13" s="33">
        <f>IF(OR($AX13="",$AX13="skip",$AX13="units?",$AX13="UNITS?",$AZ13="",$AQ13=""),"",IF($AX13="OVER",IF($AZ13&gt;$AQ13,"WON","LOST"),IF($AZ13&lt;$AQ13,"WON","LOST")))</f>
        <v/>
      </c>
      <c r="BB13" s="34">
        <f>IF($BA13="","",IF($BA13="WON",IF($AX13="OVER",$AT13*($AR13-1),$AT13*($AS13-1)),-$AT13))</f>
        <v/>
      </c>
      <c r="BC13" s="34">
        <f>IF(COUNT($BB$2:$BB13)=0,"",SUM($BB$2:$BB13))</f>
        <v/>
      </c>
      <c r="BD13" s="27" t="n"/>
    </row>
    <row r="14">
      <c r="A14" s="26" t="inlineStr">
        <is>
          <t>2026-09-26</t>
        </is>
      </c>
      <c r="B14" s="26" t="inlineStr">
        <is>
          <t>E3</t>
        </is>
      </c>
      <c r="C14" s="26" t="inlineStr">
        <is>
          <t>League Two</t>
        </is>
      </c>
      <c r="D14" s="26" t="inlineStr">
        <is>
          <t>Tranmere</t>
        </is>
      </c>
      <c r="E14" s="26" t="inlineStr">
        <is>
          <t>Walsall</t>
        </is>
      </c>
      <c r="F14" s="27" t="inlineStr">
        <is>
          <t>not known</t>
        </is>
      </c>
      <c r="G14" s="26" t="n">
        <v>0</v>
      </c>
      <c r="H14" s="28" t="n"/>
      <c r="I14" s="29" t="n">
        <v>3.944444444444445</v>
      </c>
      <c r="J14" s="29" t="n">
        <v>3.739201960720967</v>
      </c>
      <c r="K14" s="30" t="n">
        <v>-0.0520333057327127</v>
      </c>
      <c r="L14" s="26" t="n">
        <v>3</v>
      </c>
      <c r="M14" s="26" t="inlineStr">
        <is>
          <t>0-5</t>
        </is>
      </c>
      <c r="N14" s="31" t="n">
        <v>0.02731619578767016</v>
      </c>
      <c r="O14" s="31" t="n">
        <v>0.09473657930728337</v>
      </c>
      <c r="P14" s="31" t="n">
        <v>0.1677139176214074</v>
      </c>
      <c r="Q14" s="31" t="n">
        <v>0.201990564628612</v>
      </c>
      <c r="R14" s="31" t="n">
        <v>0.1861149720839194</v>
      </c>
      <c r="S14" s="31" t="n">
        <v>0.1398880045649534</v>
      </c>
      <c r="T14" s="31" t="n">
        <v>0.08930910257994443</v>
      </c>
      <c r="U14" s="31" t="n">
        <v>0.04979731909957766</v>
      </c>
      <c r="V14" s="31" t="n">
        <v>0.02474663764218845</v>
      </c>
      <c r="W14" s="28" t="n">
        <v>0.8779472249050465</v>
      </c>
      <c r="X14" s="28" t="n">
        <v>0.7102333072836391</v>
      </c>
      <c r="Y14" s="28" t="n">
        <v>0.5082427426550271</v>
      </c>
      <c r="Z14" s="28" t="n">
        <v>0.3221277705711076</v>
      </c>
      <c r="AA14" s="28" t="n">
        <v>0.1822397660061542</v>
      </c>
      <c r="AB14" s="28" t="n">
        <v>0.09293066342620981</v>
      </c>
      <c r="AC14" s="29" t="n">
        <v>1.139020628612561</v>
      </c>
      <c r="AD14" s="29" t="n">
        <v>1.407988036810895</v>
      </c>
      <c r="AE14" s="29" t="n">
        <v>1.967563756594073</v>
      </c>
      <c r="AF14" s="29" t="n">
        <v>3.104358243398504</v>
      </c>
      <c r="AG14" s="29" t="n">
        <v>5.487276580272991</v>
      </c>
      <c r="AH14" s="29" t="n">
        <v>10.76071086906675</v>
      </c>
      <c r="AI14" s="29" t="n">
        <v>8.193177084437689</v>
      </c>
      <c r="AJ14" s="29" t="n">
        <v>3.451052260788487</v>
      </c>
      <c r="AK14" s="29" t="n">
        <v>2.033523623828269</v>
      </c>
      <c r="AL14" s="29" t="n">
        <v>1.475204259130811</v>
      </c>
      <c r="AM14" s="29" t="n">
        <v>1.222852320803271</v>
      </c>
      <c r="AN14" s="29" t="n">
        <v>1.10245155434008</v>
      </c>
      <c r="AO14" s="27" t="n"/>
      <c r="AP14" s="27" t="n"/>
      <c r="AQ14" s="27" t="n"/>
      <c r="AR14" s="27" t="n"/>
      <c r="AS14" s="27" t="n"/>
      <c r="AT14" s="27" t="n">
        <v>100</v>
      </c>
      <c r="AU14" s="32">
        <f>IFERROR(IF($AQ14="","",INDEX($W14:$AB14,$AQ14-0.5)),"")</f>
        <v/>
      </c>
      <c r="AV14" s="32">
        <f>IF($AR14="","",IF($AS14="",1/$AR14,(1/$AR14)/((1/$AR14)+(1/$AS14))))</f>
        <v/>
      </c>
      <c r="AW14" s="32">
        <f>IF(OR($AU14="",$AV14=""),"",$AU14-$AV14)</f>
        <v/>
      </c>
      <c r="AX14" s="33">
        <f>IF($AW14="","",IF($AP14="","units?",IF(ISNUMBER(SEARCH("yellow",$AP14)),IF($AW14&gt;=0.05,"OVER",IF($AW14&lt;=-0.05,"UNDER","skip")),"UNITS?")))</f>
        <v/>
      </c>
      <c r="AY14" s="34">
        <f>IF(OR($AX14="",$AX14="skip",$AX14="units?",$AX14="UNITS?"),"",IF($AX14="OVER",$AT14*($AU14*$AR14-1),$AT14*((1-$AU14)*$AS14-1)))</f>
        <v/>
      </c>
      <c r="AZ14" s="27" t="n"/>
      <c r="BA14" s="33">
        <f>IF(OR($AX14="",$AX14="skip",$AX14="units?",$AX14="UNITS?",$AZ14="",$AQ14=""),"",IF($AX14="OVER",IF($AZ14&gt;$AQ14,"WON","LOST"),IF($AZ14&lt;$AQ14,"WON","LOST")))</f>
        <v/>
      </c>
      <c r="BB14" s="34">
        <f>IF($BA14="","",IF($BA14="WON",IF($AX14="OVER",$AT14*($AR14-1),$AT14*($AS14-1)),-$AT14))</f>
        <v/>
      </c>
      <c r="BC14" s="34">
        <f>IF(COUNT($BB$2:$BB14)=0,"",SUM($BB$2:$BB14))</f>
        <v/>
      </c>
      <c r="BD14" s="27" t="n"/>
    </row>
    <row r="15">
      <c r="A15" s="26" t="inlineStr">
        <is>
          <t>2026-09-26</t>
        </is>
      </c>
      <c r="B15" s="26" t="inlineStr">
        <is>
          <t>E3</t>
        </is>
      </c>
      <c r="C15" s="26" t="inlineStr">
        <is>
          <t>League Two</t>
        </is>
      </c>
      <c r="D15" s="26" t="inlineStr">
        <is>
          <t>York</t>
        </is>
      </c>
      <c r="E15" s="26" t="inlineStr">
        <is>
          <t>Gillingham</t>
        </is>
      </c>
      <c r="F15" s="27" t="inlineStr">
        <is>
          <t>not known</t>
        </is>
      </c>
      <c r="G15" s="26" t="n">
        <v>0</v>
      </c>
      <c r="H15" s="28" t="n"/>
      <c r="I15" s="29" t="n">
        <v>3.944444444444445</v>
      </c>
      <c r="J15" s="29" t="n">
        <v>3.550515082634137</v>
      </c>
      <c r="K15" s="30" t="n">
        <v>-0.0998694156702189</v>
      </c>
      <c r="L15" s="26" t="n">
        <v>3</v>
      </c>
      <c r="M15" s="26" t="inlineStr">
        <is>
          <t>1-5</t>
        </is>
      </c>
      <c r="N15" s="31" t="n">
        <v>0.03255104917359056</v>
      </c>
      <c r="O15" s="31" t="n">
        <v>0.1075886520380344</v>
      </c>
      <c r="P15" s="31" t="n">
        <v>0.1815189050871059</v>
      </c>
      <c r="Q15" s="31" t="n">
        <v>0.2083472801179382</v>
      </c>
      <c r="R15" s="31" t="n">
        <v>0.1829540619892132</v>
      </c>
      <c r="S15" s="31" t="n">
        <v>0.1310524705631448</v>
      </c>
      <c r="T15" s="31" t="n">
        <v>0.07973783786146683</v>
      </c>
      <c r="U15" s="31" t="n">
        <v>0.04237197283250714</v>
      </c>
      <c r="V15" s="31" t="n">
        <v>0.0200674834868803</v>
      </c>
      <c r="W15" s="28" t="n">
        <v>0.859860298788375</v>
      </c>
      <c r="X15" s="28" t="n">
        <v>0.6783413937012691</v>
      </c>
      <c r="Y15" s="28" t="n">
        <v>0.469994113583331</v>
      </c>
      <c r="Z15" s="28" t="n">
        <v>0.2870400515941177</v>
      </c>
      <c r="AA15" s="28" t="n">
        <v>0.155987581030973</v>
      </c>
      <c r="AB15" s="28" t="n">
        <v>0.07624974316950617</v>
      </c>
      <c r="AC15" s="29" t="n">
        <v>1.162979615885389</v>
      </c>
      <c r="AD15" s="29" t="n">
        <v>1.474183957053908</v>
      </c>
      <c r="AE15" s="29" t="n">
        <v>2.127686222229032</v>
      </c>
      <c r="AF15" s="29" t="n">
        <v>3.483834379370955</v>
      </c>
      <c r="AG15" s="29" t="n">
        <v>6.410766763550487</v>
      </c>
      <c r="AH15" s="29" t="n">
        <v>13.11479827252612</v>
      </c>
      <c r="AI15" s="29" t="n">
        <v>7.135736635330053</v>
      </c>
      <c r="AJ15" s="29" t="n">
        <v>3.108886193056746</v>
      </c>
      <c r="AK15" s="29" t="n">
        <v>1.886771497503408</v>
      </c>
      <c r="AL15" s="29" t="n">
        <v>1.402603333098745</v>
      </c>
      <c r="AM15" s="29" t="n">
        <v>1.184816689334399</v>
      </c>
      <c r="AN15" s="29" t="n">
        <v>1.082543677369172</v>
      </c>
      <c r="AO15" s="27" t="n"/>
      <c r="AP15" s="27" t="n"/>
      <c r="AQ15" s="27" t="n"/>
      <c r="AR15" s="27" t="n"/>
      <c r="AS15" s="27" t="n"/>
      <c r="AT15" s="27" t="n">
        <v>100</v>
      </c>
      <c r="AU15" s="32">
        <f>IFERROR(IF($AQ15="","",INDEX($W15:$AB15,$AQ15-0.5)),"")</f>
        <v/>
      </c>
      <c r="AV15" s="32">
        <f>IF($AR15="","",IF($AS15="",1/$AR15,(1/$AR15)/((1/$AR15)+(1/$AS15))))</f>
        <v/>
      </c>
      <c r="AW15" s="32">
        <f>IF(OR($AU15="",$AV15=""),"",$AU15-$AV15)</f>
        <v/>
      </c>
      <c r="AX15" s="33">
        <f>IF($AW15="","",IF($AP15="","units?",IF(ISNUMBER(SEARCH("yellow",$AP15)),IF($AW15&gt;=0.05,"OVER",IF($AW15&lt;=-0.05,"UNDER","skip")),"UNITS?")))</f>
        <v/>
      </c>
      <c r="AY15" s="34">
        <f>IF(OR($AX15="",$AX15="skip",$AX15="units?",$AX15="UNITS?"),"",IF($AX15="OVER",$AT15*($AU15*$AR15-1),$AT15*((1-$AU15)*$AS15-1)))</f>
        <v/>
      </c>
      <c r="AZ15" s="27" t="n"/>
      <c r="BA15" s="33">
        <f>IF(OR($AX15="",$AX15="skip",$AX15="units?",$AX15="UNITS?",$AZ15="",$AQ15=""),"",IF($AX15="OVER",IF($AZ15&gt;$AQ15,"WON","LOST"),IF($AZ15&lt;$AQ15,"WON","LOST")))</f>
        <v/>
      </c>
      <c r="BB15" s="34">
        <f>IF($BA15="","",IF($BA15="WON",IF($AX15="OVER",$AT15*($AR15-1),$AT15*($AS15-1)),-$AT15))</f>
        <v/>
      </c>
      <c r="BC15" s="34">
        <f>IF(COUNT($BB$2:$BB15)=0,"",SUM($BB$2:$BB15))</f>
        <v/>
      </c>
      <c r="BD15" s="27" t="n"/>
    </row>
    <row r="17">
      <c r="A17" s="35" t="inlineStr">
        <is>
          <t>SUMMARY</t>
        </is>
      </c>
    </row>
    <row r="18">
      <c r="A18" s="36" t="inlineStr">
        <is>
          <t>bets placed</t>
        </is>
      </c>
      <c r="E18" s="37">
        <f>COUNTIF($AX$2:$AX15,"OVER")+COUNTIF($AX$2:$AX15,"UNDER")</f>
        <v/>
      </c>
    </row>
    <row r="19">
      <c r="A19" s="36" t="inlineStr">
        <is>
          <t>bets won</t>
        </is>
      </c>
      <c r="E19" s="37">
        <f>COUNTIF($BA$2:$BA15,"WON")</f>
        <v/>
      </c>
    </row>
    <row r="20">
      <c r="A20" s="36" t="inlineStr">
        <is>
          <t>total staked</t>
        </is>
      </c>
      <c r="E20" s="38">
        <f>SUMPRODUCT(($BA$2:$BA15&lt;&gt;"")*$AT$2:$AT15)</f>
        <v/>
      </c>
    </row>
    <row r="21">
      <c r="A21" s="36" t="inlineStr">
        <is>
          <t>profit / loss EUR</t>
        </is>
      </c>
      <c r="E21" s="38">
        <f>IF(COUNT($BB$2:$BB15)=0,"",SUM($BB$2:$BB15))</f>
        <v/>
      </c>
    </row>
    <row r="22">
      <c r="A22" s="36" t="inlineStr">
        <is>
          <t>return on stake</t>
        </is>
      </c>
      <c r="E22" s="39">
        <f>IF($E20=0,"",$E21/$E20)</f>
        <v/>
      </c>
    </row>
    <row r="25">
      <c r="A25" s="42" t="inlineStr">
        <is>
          <t>HOW TO USE THIS SHEET</t>
        </is>
      </c>
    </row>
    <row r="26">
      <c r="A26" s="43" t="inlineStr"/>
    </row>
    <row r="27">
      <c r="A27" s="43" t="inlineStr">
        <is>
          <t>1. Fill the yellow columns only. Everything green is computed.</t>
        </is>
      </c>
    </row>
    <row r="28">
      <c r="A28" s="43" t="inlineStr"/>
    </row>
    <row r="29">
      <c r="A29" s="43" t="inlineStr">
        <is>
          <t>2. 'Settles on' must say what the market actually pays out on. Write 'yellow cards' only if the bookmaker settles on yellows alone. If it says total cards or booking points, BET? shows UNITS? and gives no verdict -- on purpose.</t>
        </is>
      </c>
    </row>
    <row r="30">
      <c r="A30" s="43" t="inlineStr"/>
    </row>
    <row r="31">
      <c r="A31" s="43" t="inlineStr">
        <is>
          <t xml:space="preserve">   The model predicts yellows. Counting a red as two cards adds about 5-6 percentage points at every line, always upward, which is larger than the 5% edge threshold. Priced against the wrong market the model shows an OVER edge on nearly every game, and that looks identical to finding an edge.</t>
        </is>
      </c>
    </row>
    <row r="32">
      <c r="A32" s="43" t="inlineStr"/>
    </row>
    <row r="33">
      <c r="A33" s="43" t="inlineStr">
        <is>
          <t xml:space="preserve">   The market to look for is 'Yellow Cards', as in the Chelsea screenshot -- not 'Cards' and not 'Booking Points'.</t>
        </is>
      </c>
    </row>
    <row r="34">
      <c r="A34" s="43" t="inlineStr"/>
    </row>
    <row r="35">
      <c r="A35" s="43" t="inlineStr">
        <is>
          <t>3. Record BOTH sides of the price. With one side only, the de-vig cannot run and the implied probability is overstated by the whole margin, which invents edge that is not there.</t>
        </is>
      </c>
    </row>
    <row r="36">
      <c r="A36" s="43" t="inlineStr"/>
    </row>
    <row r="37">
      <c r="A37" s="43" t="inlineStr">
        <is>
          <t>4. Record the price when you see it, before kick-off. A price looked up afterwards is not one you could have taken.</t>
        </is>
      </c>
    </row>
    <row r="38">
      <c r="A38" s="43" t="inlineStr"/>
    </row>
    <row r="39">
      <c r="A39" s="43" t="inlineStr">
        <is>
          <t>5. Stake is EUR 100 a bet. Change the column if you want; the P/L follows it.</t>
        </is>
      </c>
    </row>
    <row r="40">
      <c r="A40" s="43" t="inlineStr"/>
    </row>
    <row r="41">
      <c r="A41" s="42" t="inlineStr">
        <is>
          <t>WHAT THIS WEEK IS AND IS NOT</t>
        </is>
      </c>
    </row>
    <row r="42">
      <c r="A42" s="43" t="inlineStr"/>
    </row>
    <row r="43">
      <c r="A43" s="43" t="inlineStr">
        <is>
          <t>Fourteen fixtures, League One and League Two only -- 26 September starts a two-weekend international break, and seven more EFL matches are postponed. No Premier League or Championship football until 10 October.</t>
        </is>
      </c>
    </row>
    <row r="44">
      <c r="A44" s="43" t="inlineStr"/>
    </row>
    <row r="45">
      <c r="A45" s="43" t="inlineStr">
        <is>
          <t>Fourteen matches is far too few to tell you anything about whether the model beats a bookmaker. Treat this as practice for the workflow. A verdict on profitability needs thousands of bets.</t>
        </is>
      </c>
    </row>
    <row r="46">
      <c r="A46" s="43" t="inlineStr"/>
    </row>
    <row r="47">
      <c r="A47" s="43" t="inlineStr">
        <is>
          <t>Referees are not in yet. The EFL publishes appointments one to three days ahead, and the referee is 48% of the model's value -- so these numbers are the weaker version of the model. Re-run cards/run_week_sheet.py once the appointments are out.</t>
        </is>
      </c>
    </row>
    <row r="48">
      <c r="A48" s="43" t="inlineStr"/>
    </row>
    <row r="49">
      <c r="A49" s="43" t="inlineStr">
        <is>
          <t>Model fingerprint d30beac40c73a847, frozen for the season.</t>
        </is>
      </c>
    </row>
    <row r="50">
      <c r="A50" s="43" t="inlineStr">
        <is>
          <t>Scoring these results against the model is a holdout look.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2026-09-18T09:12:33Z</dcterms:created>
  <dcterms:modified xsi:type="dcterms:W3CDTF">2026-09-28T09:06:44Z</dcterms:modified>
  <cp:lastModifiedBy>Artur Markosyan - ibdp2</cp:lastModifiedBy>
</cp:coreProperties>
</file>