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10">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
      <patternFill patternType="solid">
        <fgColor rgb="00DDEBF7"/>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2" fillId="5" borderId="0" pivotButton="0" quotePrefix="0" xfId="0"/>
    <xf numFmtId="0" fontId="13" fillId="9"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E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4</v>
      </c>
      <c r="BA2" s="33">
        <f>IF(OR($AX2="",$AX2="skip",$AX2="units?",$AX2="UNITS?",$AZ2="",$AQ2=""),"",IF($AX2="OVER",IF($AZ2&gt;$AQ2,"WON","LOST"),IF($AZ2&lt;$AQ2,"WON","LOST")))</f>
        <v/>
      </c>
      <c r="BB2" s="34">
        <f>IF($BA2="","",IF($BA2="WON",IF($AX2="OVER",$AT2*($AR2-1),$AT2*($AS2-1)),-$AT2))</f>
        <v/>
      </c>
      <c r="BC2" s="34">
        <f>IF(COUNT($BB$2:$BB2)=0,"",SUM($BB$2:$BB2))</f>
        <v/>
      </c>
      <c r="BD2" s="27" t="inlineStr">
        <is>
          <t>actual from BBC 2026-09-26 (provisional, ~97% exact vs football-data)</t>
        </is>
      </c>
      <c r="BE2" s="51" t="inlineStr">
        <is>
          <t>b toner</t>
        </is>
      </c>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6</v>
      </c>
      <c r="BA3" s="33">
        <f>IF(OR($AX3="",$AX3="skip",$AX3="units?",$AX3="UNITS?",$AZ3="",$AQ3=""),"",IF($AX3="OVER",IF($AZ3&gt;$AQ3,"WON","LOST"),IF($AZ3&lt;$AQ3,"WON","LOST")))</f>
        <v/>
      </c>
      <c r="BB3" s="34">
        <f>IF($BA3="","",IF($BA3="WON",IF($AX3="OVER",$AT3*($AR3-1),$AT3*($AS3-1)),-$AT3))</f>
        <v/>
      </c>
      <c r="BC3" s="34">
        <f>IF(COUNT($BB$2:$BB3)=0,"",SUM($BB$2:$BB3))</f>
        <v/>
      </c>
      <c r="BD3" s="27" t="inlineStr">
        <is>
          <t>actual from BBC 2026-09-26 (provisional, ~97% exact vs football-data)</t>
        </is>
      </c>
      <c r="BE3" s="51" t="inlineStr">
        <is>
          <t>s mather</t>
        </is>
      </c>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4</v>
      </c>
      <c r="BA4" s="33">
        <f>IF(OR($AX4="",$AX4="skip",$AX4="units?",$AX4="UNITS?",$AZ4="",$AQ4=""),"",IF($AX4="OVER",IF($AZ4&gt;$AQ4,"WON","LOST"),IF($AZ4&lt;$AQ4,"WON","LOST")))</f>
        <v/>
      </c>
      <c r="BB4" s="34">
        <f>IF($BA4="","",IF($BA4="WON",IF($AX4="OVER",$AT4*($AR4-1),$AT4*($AS4-1)),-$AT4))</f>
        <v/>
      </c>
      <c r="BC4" s="34">
        <f>IF(COUNT($BB$2:$BB4)=0,"",SUM($BB$2:$BB4))</f>
        <v/>
      </c>
      <c r="BD4" s="27" t="inlineStr">
        <is>
          <t>actual from BBC 2026-09-26 (provisional, ~97% exact vs football-data)</t>
        </is>
      </c>
      <c r="BE4" s="51" t="inlineStr">
        <is>
          <t>r martin</t>
        </is>
      </c>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5</v>
      </c>
      <c r="BA5" s="33">
        <f>IF(OR($AX5="",$AX5="skip",$AX5="units?",$AX5="UNITS?",$AZ5="",$AQ5=""),"",IF($AX5="OVER",IF($AZ5&gt;$AQ5,"WON","LOST"),IF($AZ5&lt;$AQ5,"WON","LOST")))</f>
        <v/>
      </c>
      <c r="BB5" s="34">
        <f>IF($BA5="","",IF($BA5="WON",IF($AX5="OVER",$AT5*($AR5-1),$AT5*($AS5-1)),-$AT5))</f>
        <v/>
      </c>
      <c r="BC5" s="34">
        <f>IF(COUNT($BB$2:$BB5)=0,"",SUM($BB$2:$BB5))</f>
        <v/>
      </c>
      <c r="BD5" s="27" t="inlineStr">
        <is>
          <t>actual from BBC 2026-09-26 (provisional, ~97% exact vs football-data)</t>
        </is>
      </c>
      <c r="BE5" s="51" t="inlineStr">
        <is>
          <t>t reeves</t>
        </is>
      </c>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2</v>
      </c>
      <c r="BA6" s="33">
        <f>IF(OR($AX6="",$AX6="skip",$AX6="units?",$AX6="UNITS?",$AZ6="",$AQ6=""),"",IF($AX6="OVER",IF($AZ6&gt;$AQ6,"WON","LOST"),IF($AZ6&lt;$AQ6,"WON","LOST")))</f>
        <v/>
      </c>
      <c r="BB6" s="34">
        <f>IF($BA6="","",IF($BA6="WON",IF($AX6="OVER",$AT6*($AR6-1),$AT6*($AS6-1)),-$AT6))</f>
        <v/>
      </c>
      <c r="BC6" s="34">
        <f>IF(COUNT($BB$2:$BB6)=0,"",SUM($BB$2:$BB6))</f>
        <v/>
      </c>
      <c r="BD6" s="27" t="inlineStr">
        <is>
          <t>actual from BBC 2026-09-26 (provisional, ~97% exact vs football-data)</t>
        </is>
      </c>
      <c r="BE6" s="51" t="inlineStr">
        <is>
          <t>m coy</t>
        </is>
      </c>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4</v>
      </c>
      <c r="BA7" s="33">
        <f>IF(OR($AX7="",$AX7="skip",$AX7="units?",$AX7="UNITS?",$AZ7="",$AQ7=""),"",IF($AX7="OVER",IF($AZ7&gt;$AQ7,"WON","LOST"),IF($AZ7&lt;$AQ7,"WON","LOST")))</f>
        <v/>
      </c>
      <c r="BB7" s="34">
        <f>IF($BA7="","",IF($BA7="WON",IF($AX7="OVER",$AT7*($AR7-1),$AT7*($AS7-1)),-$AT7))</f>
        <v/>
      </c>
      <c r="BC7" s="34">
        <f>IF(COUNT($BB$2:$BB7)=0,"",SUM($BB$2:$BB7))</f>
        <v/>
      </c>
      <c r="BD7" s="27" t="inlineStr">
        <is>
          <t>actual from BBC 2026-09-26 (provisional, ~97% exact vs football-data)</t>
        </is>
      </c>
      <c r="BE7" s="51" t="inlineStr">
        <is>
          <t>d whitestone</t>
        </is>
      </c>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c r="BE8" s="51" t="inlineStr">
        <is>
          <t>a chilowicz</t>
        </is>
      </c>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4</v>
      </c>
      <c r="BA9" s="33">
        <f>IF(OR($AX9="",$AX9="skip",$AX9="units?",$AX9="UNITS?",$AZ9="",$AQ9=""),"",IF($AX9="OVER",IF($AZ9&gt;$AQ9,"WON","LOST"),IF($AZ9&lt;$AQ9,"WON","LOST")))</f>
        <v/>
      </c>
      <c r="BB9" s="34">
        <f>IF($BA9="","",IF($BA9="WON",IF($AX9="OVER",$AT9*($AR9-1),$AT9*($AS9-1)),-$AT9))</f>
        <v/>
      </c>
      <c r="BC9" s="34">
        <f>IF(COUNT($BB$2:$BB9)=0,"",SUM($BB$2:$BB9))</f>
        <v/>
      </c>
      <c r="BD9" s="27" t="inlineStr">
        <is>
          <t>actual from BBC 2026-09-26 (provisional, ~97% exact vs football-data)</t>
        </is>
      </c>
      <c r="BE9" s="51" t="inlineStr">
        <is>
          <t>d drysdale</t>
        </is>
      </c>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2026-09-26 (provisional, ~97% exact vs football-data)</t>
        </is>
      </c>
      <c r="BE10" s="51" t="inlineStr">
        <is>
          <t>i searle</t>
        </is>
      </c>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2026-09-26 (provisional, ~97% exact vs football-data)</t>
        </is>
      </c>
      <c r="BE11" s="51" t="inlineStr">
        <is>
          <t>d rock</t>
        </is>
      </c>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3</v>
      </c>
      <c r="BA12" s="33">
        <f>IF(OR($AX12="",$AX12="skip",$AX12="units?",$AX12="UNITS?",$AZ12="",$AQ12=""),"",IF($AX12="OVER",IF($AZ12&gt;$AQ12,"WON","LOST"),IF($AZ12&lt;$AQ12,"WON","LOST")))</f>
        <v/>
      </c>
      <c r="BB12" s="34">
        <f>IF($BA12="","",IF($BA12="WON",IF($AX12="OVER",$AT12*($AR12-1),$AT12*($AS12-1)),-$AT12))</f>
        <v/>
      </c>
      <c r="BC12" s="34">
        <f>IF(COUNT($BB$2:$BB12)=0,"",SUM($BB$2:$BB12))</f>
        <v/>
      </c>
      <c r="BD12" s="27" t="inlineStr">
        <is>
          <t>actual from BBC 2026-09-26 (provisional, ~97% exact vs football-data)</t>
        </is>
      </c>
      <c r="BE12" s="51" t="inlineStr">
        <is>
          <t>j robinson</t>
        </is>
      </c>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2</v>
      </c>
      <c r="BA13" s="33">
        <f>IF(OR($AX13="",$AX13="skip",$AX13="units?",$AX13="UNITS?",$AZ13="",$AQ13=""),"",IF($AX13="OVER",IF($AZ13&gt;$AQ13,"WON","LOST"),IF($AZ13&lt;$AQ13,"WON","LOST")))</f>
        <v/>
      </c>
      <c r="BB13" s="34">
        <f>IF($BA13="","",IF($BA13="WON",IF($AX13="OVER",$AT13*($AR13-1),$AT13*($AS13-1)),-$AT13))</f>
        <v/>
      </c>
      <c r="BC13" s="34">
        <f>IF(COUNT($BB$2:$BB13)=0,"",SUM($BB$2:$BB13))</f>
        <v/>
      </c>
      <c r="BD13" s="27" t="inlineStr">
        <is>
          <t>actual from BBC 2026-09-26 (provisional, ~97% exact vs football-data)</t>
        </is>
      </c>
      <c r="BE13" s="51" t="inlineStr">
        <is>
          <t>h blair</t>
        </is>
      </c>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2026-09-26 (provisional, ~97% exact vs football-data)</t>
        </is>
      </c>
      <c r="BE14" s="51" t="inlineStr">
        <is>
          <t>s parkinson</t>
        </is>
      </c>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4</v>
      </c>
      <c r="BA15" s="33">
        <f>IF(OR($AX15="",$AX15="skip",$AX15="units?",$AX15="UNITS?",$AZ15="",$AQ15=""),"",IF($AX15="OVER",IF($AZ15&gt;$AQ15,"WON","LOST"),IF($AZ15&lt;$AQ15,"WON","LOST")))</f>
        <v/>
      </c>
      <c r="BB15" s="34">
        <f>IF($BA15="","",IF($BA15="WON",IF($AX15="OVER",$AT15*($AR15-1),$AT15*($AS15-1)),-$AT15))</f>
        <v/>
      </c>
      <c r="BC15" s="34">
        <f>IF(COUNT($BB$2:$BB15)=0,"",SUM($BB$2:$BB15))</f>
        <v/>
      </c>
      <c r="BD15" s="27" t="inlineStr">
        <is>
          <t>actual from BBC 2026-09-26 (provisional, ~97% exact vs football-data); 1 second-caution dismissal(s) -- not adjusted</t>
        </is>
      </c>
      <c r="BE15" s="51" t="inlineStr">
        <is>
          <t>s oldham</t>
        </is>
      </c>
    </row>
    <row r="16"/>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3"/>
    <row r="24"/>
    <row r="25">
      <c r="A25" s="48" t="inlineStr">
        <is>
          <t>HOW TO USE THIS SHEET</t>
        </is>
      </c>
    </row>
    <row r="26">
      <c r="A26" s="49" t="inlineStr"/>
    </row>
    <row r="27">
      <c r="A27" s="49" t="inlineStr">
        <is>
          <t>1. Fill the yellow columns only. Everything green is computed.</t>
        </is>
      </c>
    </row>
    <row r="28">
      <c r="A28" s="49" t="inlineStr"/>
    </row>
    <row r="29">
      <c r="A29" s="49" t="inlineStr">
        <is>
          <t>2. 'Settles on' must say what the market actually pays out on. Write 'yellow cards' only if the bookmaker settles on yellows alone. If it says total cards or booking points, BET? shows UNITS? and gives no verdict -- on purpose.</t>
        </is>
      </c>
    </row>
    <row r="30">
      <c r="A30" s="49" t="inlineStr"/>
    </row>
    <row r="31">
      <c r="A31"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9" t="inlineStr"/>
    </row>
    <row r="33">
      <c r="A33" s="49" t="inlineStr">
        <is>
          <t xml:space="preserve">   The market to look for is 'Yellow Cards', as in the Chelsea screenshot -- not 'Cards' and not 'Booking Points'.</t>
        </is>
      </c>
    </row>
    <row r="34">
      <c r="A34" s="49" t="inlineStr"/>
    </row>
    <row r="35">
      <c r="A35" s="49" t="inlineStr">
        <is>
          <t>3. Record BOTH sides of the price. With one side only, the de-vig cannot run and the implied probability is overstated by the whole margin, which invents edge that is not there.</t>
        </is>
      </c>
    </row>
    <row r="36">
      <c r="A36" s="49" t="inlineStr"/>
    </row>
    <row r="37">
      <c r="A37" s="49" t="inlineStr">
        <is>
          <t>4. Record the price when you see it, before kick-off. A price looked up afterwards is not one you could have taken.</t>
        </is>
      </c>
    </row>
    <row r="38">
      <c r="A38" s="49" t="inlineStr"/>
    </row>
    <row r="39">
      <c r="A39" s="49" t="inlineStr">
        <is>
          <t>5. Stake is EUR 100 a bet. Change the column if you want; the P/L follows it.</t>
        </is>
      </c>
    </row>
    <row r="40">
      <c r="A40" s="49" t="inlineStr"/>
    </row>
    <row r="41">
      <c r="A41" s="48" t="inlineStr">
        <is>
          <t>WHAT THIS WEEK IS AND IS NOT</t>
        </is>
      </c>
    </row>
    <row r="42">
      <c r="A42" s="49" t="inlineStr"/>
    </row>
    <row r="43">
      <c r="A43" s="49" t="inlineStr">
        <is>
          <t>Fourteen fixtures, League One and League Two only -- 26 September starts a two-weekend international break, and seven more EFL matches are postponed. No Premier League or Championship football until 10 October.</t>
        </is>
      </c>
    </row>
    <row r="44">
      <c r="A44" s="49" t="inlineStr"/>
    </row>
    <row r="45">
      <c r="A45" s="49" t="inlineStr">
        <is>
          <t>Fourteen matches is far too few to tell you anything about whether the model beats a bookmaker. Treat this as practice for the workflow. A verdict on profitability needs thousands of bets.</t>
        </is>
      </c>
    </row>
    <row r="46">
      <c r="A46" s="49" t="inlineStr"/>
    </row>
    <row r="47">
      <c r="A47" s="49" t="inlineStr">
        <is>
          <t>Referees are not in yet. The EFL publishes appointments one to three days ahead, and the referee is 48% of the model's value -- so these numbers are the weaker version of the model. Re-run cards/run_week_sheet.py once the appointments are out.</t>
        </is>
      </c>
    </row>
    <row r="48">
      <c r="A48" s="49" t="inlineStr"/>
    </row>
    <row r="49">
      <c r="A49" s="49" t="inlineStr">
        <is>
          <t>Model fingerprint d30beac40c73a847, frozen for the season.</t>
        </is>
      </c>
    </row>
    <row r="50">
      <c r="A50" s="49"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E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6</v>
      </c>
      <c r="BA2" s="33">
        <f>IF(OR($AX2="",$AX2="skip",$AX2="units?",$AX2="UNITS?",$AZ2="",$AQ2=""),"",IF($AX2="OVER",IF($AZ2&gt;$AQ2,"WON","LOST"),IF($AZ2&lt;$AQ2,"WON","LOST")))</f>
        <v/>
      </c>
      <c r="BB2" s="34">
        <f>IF($BA2="","",IF($BA2="WON",IF($AX2="OVER",$AT2*($AR2-1),$AT2*($AS2-1)),-$AT2))</f>
        <v/>
      </c>
      <c r="BC2" s="34">
        <f>IF(COUNT($BB$2:$BB2)=0,"",SUM($BB$2:$BB2))</f>
        <v/>
      </c>
      <c r="BD2" s="27" t="inlineStr">
        <is>
          <t>actual from BBC 2026-10-09 (provisional, ~97% exact vs football-data)</t>
        </is>
      </c>
      <c r="BE2" s="51" t="inlineStr">
        <is>
          <t>r ricardo</t>
        </is>
      </c>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5</v>
      </c>
      <c r="BA3" s="33">
        <f>IF(OR($AX3="",$AX3="skip",$AX3="units?",$AX3="UNITS?",$AZ3="",$AQ3=""),"",IF($AX3="OVER",IF($AZ3&gt;$AQ3,"WON","LOST"),IF($AZ3&lt;$AQ3,"WON","LOST")))</f>
        <v/>
      </c>
      <c r="BB3" s="34">
        <f>IF($BA3="","",IF($BA3="WON",IF($AX3="OVER",$AT3*($AR3-1),$AT3*($AS3-1)),-$AT3))</f>
        <v/>
      </c>
      <c r="BC3" s="34">
        <f>IF(COUNT($BB$2:$BB3)=0,"",SUM($BB$2:$BB3))</f>
        <v/>
      </c>
      <c r="BD3" s="27" t="inlineStr">
        <is>
          <t>actual from BBC 2026-10-10 (provisional, ~97% exact vs football-data)</t>
        </is>
      </c>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7</v>
      </c>
      <c r="BA4" s="33">
        <f>IF(OR($AX4="",$AX4="skip",$AX4="units?",$AX4="UNITS?",$AZ4="",$AQ4=""),"",IF($AX4="OVER",IF($AZ4&gt;$AQ4,"WON","LOST"),IF($AZ4&lt;$AQ4,"WON","LOST")))</f>
        <v/>
      </c>
      <c r="BB4" s="34">
        <f>IF($BA4="","",IF($BA4="WON",IF($AX4="OVER",$AT4*($AR4-1),$AT4*($AS4-1)),-$AT4))</f>
        <v/>
      </c>
      <c r="BC4" s="34">
        <f>IF(COUNT($BB$2:$BB4)=0,"",SUM($BB$2:$BB4))</f>
        <v/>
      </c>
      <c r="BD4" s="27" t="inlineStr">
        <is>
          <t>actual from BBC 2026-10-10 (provisional, ~97% exact vs football-data)</t>
        </is>
      </c>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2026-10-10 (provisional, ~97% exact vs football-data)</t>
        </is>
      </c>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2026-10-10 (provisional, ~97% exact vs football-data)</t>
        </is>
      </c>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7</v>
      </c>
      <c r="BA7" s="33">
        <f>IF(OR($AX7="",$AX7="skip",$AX7="units?",$AX7="UNITS?",$AZ7="",$AQ7=""),"",IF($AX7="OVER",IF($AZ7&gt;$AQ7,"WON","LOST"),IF($AZ7&lt;$AQ7,"WON","LOST")))</f>
        <v/>
      </c>
      <c r="BB7" s="34">
        <f>IF($BA7="","",IF($BA7="WON",IF($AX7="OVER",$AT7*($AR7-1),$AT7*($AS7-1)),-$AT7))</f>
        <v/>
      </c>
      <c r="BC7" s="34">
        <f>IF(COUNT($BB$2:$BB7)=0,"",SUM($BB$2:$BB7))</f>
        <v/>
      </c>
      <c r="BD7" s="27" t="inlineStr">
        <is>
          <t>actual from BBC 2026-10-10 (provisional, ~97% exact vs football-data); 1 straight red (no yellows added)</t>
        </is>
      </c>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1</v>
      </c>
      <c r="BA8" s="33">
        <f>IF(OR($AX8="",$AX8="skip",$AX8="units?",$AX8="UNITS?",$AZ8="",$AQ8=""),"",IF($AX8="OVER",IF($AZ8&gt;$AQ8,"WON","LOST"),IF($AZ8&lt;$AQ8,"WON","LOST")))</f>
        <v/>
      </c>
      <c r="BB8" s="34">
        <f>IF($BA8="","",IF($BA8="WON",IF($AX8="OVER",$AT8*($AR8-1),$AT8*($AS8-1)),-$AT8))</f>
        <v/>
      </c>
      <c r="BC8" s="34">
        <f>IF(COUNT($BB$2:$BB8)=0,"",SUM($BB$2:$BB8))</f>
        <v/>
      </c>
      <c r="BD8" s="27" t="inlineStr">
        <is>
          <t>actual from BBC 2026-10-10 (provisional, ~97% exact vs football-data); 1 straight red (no yellows added)</t>
        </is>
      </c>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1</v>
      </c>
      <c r="BA9" s="33">
        <f>IF(OR($AX9="",$AX9="skip",$AX9="units?",$AX9="UNITS?",$AZ9="",$AQ9=""),"",IF($AX9="OVER",IF($AZ9&gt;$AQ9,"WON","LOST"),IF($AZ9&lt;$AQ9,"WON","LOST")))</f>
        <v/>
      </c>
      <c r="BB9" s="34">
        <f>IF($BA9="","",IF($BA9="WON",IF($AX9="OVER",$AT9*($AR9-1),$AT9*($AS9-1)),-$AT9))</f>
        <v/>
      </c>
      <c r="BC9" s="34">
        <f>IF(COUNT($BB$2:$BB9)=0,"",SUM($BB$2:$BB9))</f>
        <v/>
      </c>
      <c r="BD9" s="27" t="inlineStr">
        <is>
          <t>actual from BBC 2026-10-10 (provisional, ~97% exact vs football-data)</t>
        </is>
      </c>
      <c r="BE9" s="51" t="inlineStr">
        <is>
          <t>a backhouse</t>
        </is>
      </c>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2026-10-10 (provisional, ~97% exact vs football-data); 1 straight red (no yellows added)</t>
        </is>
      </c>
      <c r="BE10" s="51" t="inlineStr">
        <is>
          <t>t kird</t>
        </is>
      </c>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2026-10-10 (provisional, ~97% exact vs football-data)</t>
        </is>
      </c>
      <c r="BE11" s="51" t="inlineStr">
        <is>
          <t>t reeves</t>
        </is>
      </c>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5</v>
      </c>
      <c r="BA12" s="33">
        <f>IF(OR($AX12="",$AX12="skip",$AX12="units?",$AX12="UNITS?",$AZ12="",$AQ12=""),"",IF($AX12="OVER",IF($AZ12&gt;$AQ12,"WON","LOST"),IF($AZ12&lt;$AQ12,"WON","LOST")))</f>
        <v/>
      </c>
      <c r="BB12" s="34">
        <f>IF($BA12="","",IF($BA12="WON",IF($AX12="OVER",$AT12*($AR12-1),$AT12*($AS12-1)),-$AT12))</f>
        <v/>
      </c>
      <c r="BC12" s="34">
        <f>IF(COUNT($BB$2:$BB12)=0,"",SUM($BB$2:$BB12))</f>
        <v/>
      </c>
      <c r="BD12" s="27" t="inlineStr">
        <is>
          <t>actual from BBC 2026-10-10 (provisional, ~97% exact vs football-data)</t>
        </is>
      </c>
      <c r="BE12" s="51" t="inlineStr">
        <is>
          <t>m donohue</t>
        </is>
      </c>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6</v>
      </c>
      <c r="BA13" s="33">
        <f>IF(OR($AX13="",$AX13="skip",$AX13="units?",$AX13="UNITS?",$AZ13="",$AQ13=""),"",IF($AX13="OVER",IF($AZ13&gt;$AQ13,"WON","LOST"),IF($AZ13&lt;$AQ13,"WON","LOST")))</f>
        <v/>
      </c>
      <c r="BB13" s="34">
        <f>IF($BA13="","",IF($BA13="WON",IF($AX13="OVER",$AT13*($AR13-1),$AT13*($AS13-1)),-$AT13))</f>
        <v/>
      </c>
      <c r="BC13" s="34">
        <f>IF(COUNT($BB$2:$BB13)=0,"",SUM($BB$2:$BB13))</f>
        <v/>
      </c>
      <c r="BD13" s="27" t="inlineStr">
        <is>
          <t>actual from BBC 2026-10-10 (provisional, ~97% exact vs football-data)</t>
        </is>
      </c>
      <c r="BE13" s="51" t="inlineStr">
        <is>
          <t>f hallam</t>
        </is>
      </c>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2026-10-10 (provisional, ~97% exact vs football-data)</t>
        </is>
      </c>
      <c r="BE14" s="51" t="inlineStr">
        <is>
          <t>b speedie</t>
        </is>
      </c>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7</v>
      </c>
      <c r="BA15" s="33">
        <f>IF(OR($AX15="",$AX15="skip",$AX15="units?",$AX15="UNITS?",$AZ15="",$AQ15=""),"",IF($AX15="OVER",IF($AZ15&gt;$AQ15,"WON","LOST"),IF($AZ15&lt;$AQ15,"WON","LOST")))</f>
        <v/>
      </c>
      <c r="BB15" s="34">
        <f>IF($BA15="","",IF($BA15="WON",IF($AX15="OVER",$AT15*($AR15-1),$AT15*($AS15-1)),-$AT15))</f>
        <v/>
      </c>
      <c r="BC15" s="34">
        <f>IF(COUNT($BB$2:$BB15)=0,"",SUM($BB$2:$BB15))</f>
        <v/>
      </c>
      <c r="BD15" s="27" t="inlineStr">
        <is>
          <t>actual from BBC 2026-10-10 (provisional, ~97% exact vs football-data)</t>
        </is>
      </c>
      <c r="BE15" s="51" t="inlineStr">
        <is>
          <t>j smith</t>
        </is>
      </c>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v>2</v>
      </c>
      <c r="BA16" s="33">
        <f>IF(OR($AX16="",$AX16="skip",$AX16="units?",$AX16="UNITS?",$AZ16="",$AQ16=""),"",IF($AX16="OVER",IF($AZ16&gt;$AQ16,"WON","LOST"),IF($AZ16&lt;$AQ16,"WON","LOST")))</f>
        <v/>
      </c>
      <c r="BB16" s="34">
        <f>IF($BA16="","",IF($BA16="WON",IF($AX16="OVER",$AT16*($AR16-1),$AT16*($AS16-1)),-$AT16))</f>
        <v/>
      </c>
      <c r="BC16" s="34">
        <f>IF(COUNT($BB$2:$BB16)=0,"",SUM($BB$2:$BB16))</f>
        <v/>
      </c>
      <c r="BD16" s="27" t="inlineStr">
        <is>
          <t>actual from BBC 2026-10-10 (provisional, ~97% exact vs football-data)</t>
        </is>
      </c>
      <c r="BE16" s="51" t="inlineStr">
        <is>
          <t>a kitchen</t>
        </is>
      </c>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v>0</v>
      </c>
      <c r="BA17" s="33">
        <f>IF(OR($AX17="",$AX17="skip",$AX17="units?",$AX17="UNITS?",$AZ17="",$AQ17=""),"",IF($AX17="OVER",IF($AZ17&gt;$AQ17,"WON","LOST"),IF($AZ17&lt;$AQ17,"WON","LOST")))</f>
        <v/>
      </c>
      <c r="BB17" s="34">
        <f>IF($BA17="","",IF($BA17="WON",IF($AX17="OVER",$AT17*($AR17-1),$AT17*($AS17-1)),-$AT17))</f>
        <v/>
      </c>
      <c r="BC17" s="34">
        <f>IF(COUNT($BB$2:$BB17)=0,"",SUM($BB$2:$BB17))</f>
        <v/>
      </c>
      <c r="BD17" s="27" t="inlineStr">
        <is>
          <t>actual from BBC 2026-10-10 (provisional, ~97% exact vs football-data)</t>
        </is>
      </c>
      <c r="BE17" s="51" t="inlineStr">
        <is>
          <t>a madley</t>
        </is>
      </c>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v>6</v>
      </c>
      <c r="BA18" s="33">
        <f>IF(OR($AX18="",$AX18="skip",$AX18="units?",$AX18="UNITS?",$AZ18="",$AQ18=""),"",IF($AX18="OVER",IF($AZ18&gt;$AQ18,"WON","LOST"),IF($AZ18&lt;$AQ18,"WON","LOST")))</f>
        <v/>
      </c>
      <c r="BB18" s="34">
        <f>IF($BA18="","",IF($BA18="WON",IF($AX18="OVER",$AT18*($AR18-1),$AT18*($AS18-1)),-$AT18))</f>
        <v/>
      </c>
      <c r="BC18" s="34">
        <f>IF(COUNT($BB$2:$BB18)=0,"",SUM($BB$2:$BB18))</f>
        <v/>
      </c>
      <c r="BD18" s="27" t="inlineStr">
        <is>
          <t>actual from BBC 2026-10-10 (provisional, ~97% exact vs football-data)</t>
        </is>
      </c>
      <c r="BE18" s="51" t="inlineStr">
        <is>
          <t>g ward</t>
        </is>
      </c>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v>4</v>
      </c>
      <c r="BA19" s="33">
        <f>IF(OR($AX19="",$AX19="skip",$AX19="units?",$AX19="UNITS?",$AZ19="",$AQ19=""),"",IF($AX19="OVER",IF($AZ19&gt;$AQ19,"WON","LOST"),IF($AZ19&lt;$AQ19,"WON","LOST")))</f>
        <v/>
      </c>
      <c r="BB19" s="34">
        <f>IF($BA19="","",IF($BA19="WON",IF($AX19="OVER",$AT19*($AR19-1),$AT19*($AS19-1)),-$AT19))</f>
        <v/>
      </c>
      <c r="BC19" s="34">
        <f>IF(COUNT($BB$2:$BB19)=0,"",SUM($BB$2:$BB19))</f>
        <v/>
      </c>
      <c r="BD19" s="27" t="inlineStr">
        <is>
          <t>actual from BBC 2026-10-10 (provisional, ~97% exact vs football-data)</t>
        </is>
      </c>
      <c r="BE19" s="51" t="inlineStr">
        <is>
          <t>d whitestone</t>
        </is>
      </c>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v>3</v>
      </c>
      <c r="BA20" s="33">
        <f>IF(OR($AX20="",$AX20="skip",$AX20="units?",$AX20="UNITS?",$AZ20="",$AQ20=""),"",IF($AX20="OVER",IF($AZ20&gt;$AQ20,"WON","LOST"),IF($AZ20&lt;$AQ20,"WON","LOST")))</f>
        <v/>
      </c>
      <c r="BB20" s="34">
        <f>IF($BA20="","",IF($BA20="WON",IF($AX20="OVER",$AT20*($AR20-1),$AT20*($AS20-1)),-$AT20))</f>
        <v/>
      </c>
      <c r="BC20" s="34">
        <f>IF(COUNT($BB$2:$BB20)=0,"",SUM($BB$2:$BB20))</f>
        <v/>
      </c>
      <c r="BD20" s="27" t="inlineStr">
        <is>
          <t>actual from BBC 2026-10-10 (provisional, ~97% exact vs football-data); 1 straight red (no yellows added)</t>
        </is>
      </c>
      <c r="BE20" s="51" t="inlineStr">
        <is>
          <t>l sandoe</t>
        </is>
      </c>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v>5</v>
      </c>
      <c r="BA21" s="33">
        <f>IF(OR($AX21="",$AX21="skip",$AX21="units?",$AX21="UNITS?",$AZ21="",$AQ21=""),"",IF($AX21="OVER",IF($AZ21&gt;$AQ21,"WON","LOST"),IF($AZ21&lt;$AQ21,"WON","LOST")))</f>
        <v/>
      </c>
      <c r="BB21" s="34">
        <f>IF($BA21="","",IF($BA21="WON",IF($AX21="OVER",$AT21*($AR21-1),$AT21*($AS21-1)),-$AT21))</f>
        <v/>
      </c>
      <c r="BC21" s="34">
        <f>IF(COUNT($BB$2:$BB21)=0,"",SUM($BB$2:$BB21))</f>
        <v/>
      </c>
      <c r="BD21" s="27" t="inlineStr">
        <is>
          <t>actual from BBC 2026-10-10 (provisional, ~97% exact vs football-data)</t>
        </is>
      </c>
      <c r="BE21" s="51" t="inlineStr">
        <is>
          <t>h blair</t>
        </is>
      </c>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v>5</v>
      </c>
      <c r="BA22" s="33">
        <f>IF(OR($AX22="",$AX22="skip",$AX22="units?",$AX22="UNITS?",$AZ22="",$AQ22=""),"",IF($AX22="OVER",IF($AZ22&gt;$AQ22,"WON","LOST"),IF($AZ22&lt;$AQ22,"WON","LOST")))</f>
        <v/>
      </c>
      <c r="BB22" s="34">
        <f>IF($BA22="","",IF($BA22="WON",IF($AX22="OVER",$AT22*($AR22-1),$AT22*($AS22-1)),-$AT22))</f>
        <v/>
      </c>
      <c r="BC22" s="34">
        <f>IF(COUNT($BB$2:$BB22)=0,"",SUM($BB$2:$BB22))</f>
        <v/>
      </c>
      <c r="BD22" s="27" t="inlineStr">
        <is>
          <t>actual from BBC 2026-10-10 (provisional, ~97% exact vs football-data)</t>
        </is>
      </c>
      <c r="BE22" s="51" t="inlineStr">
        <is>
          <t>e duckworth</t>
        </is>
      </c>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v>1</v>
      </c>
      <c r="BA23" s="33">
        <f>IF(OR($AX23="",$AX23="skip",$AX23="units?",$AX23="UNITS?",$AZ23="",$AQ23=""),"",IF($AX23="OVER",IF($AZ23&gt;$AQ23,"WON","LOST"),IF($AZ23&lt;$AQ23,"WON","LOST")))</f>
        <v/>
      </c>
      <c r="BB23" s="34">
        <f>IF($BA23="","",IF($BA23="WON",IF($AX23="OVER",$AT23*($AR23-1),$AT23*($AS23-1)),-$AT23))</f>
        <v/>
      </c>
      <c r="BC23" s="34">
        <f>IF(COUNT($BB$2:$BB23)=0,"",SUM($BB$2:$BB23))</f>
        <v/>
      </c>
      <c r="BD23" s="27" t="inlineStr">
        <is>
          <t>actual from BBC 2026-10-10 (provisional, ~97% exact vs football-data)</t>
        </is>
      </c>
      <c r="BE23" s="51" t="inlineStr">
        <is>
          <t>s hooper</t>
        </is>
      </c>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v>2</v>
      </c>
      <c r="BA24" s="33">
        <f>IF(OR($AX24="",$AX24="skip",$AX24="units?",$AX24="UNITS?",$AZ24="",$AQ24=""),"",IF($AX24="OVER",IF($AZ24&gt;$AQ24,"WON","LOST"),IF($AZ24&lt;$AQ24,"WON","LOST")))</f>
        <v/>
      </c>
      <c r="BB24" s="34">
        <f>IF($BA24="","",IF($BA24="WON",IF($AX24="OVER",$AT24*($AR24-1),$AT24*($AS24-1)),-$AT24))</f>
        <v/>
      </c>
      <c r="BC24" s="34">
        <f>IF(COUNT($BB$2:$BB24)=0,"",SUM($BB$2:$BB24))</f>
        <v/>
      </c>
      <c r="BD24" s="27" t="inlineStr">
        <is>
          <t>actual from BBC 2026-10-10 (provisional, ~97% exact vs football-data)</t>
        </is>
      </c>
      <c r="BE24" s="51" t="inlineStr">
        <is>
          <t>m corlett</t>
        </is>
      </c>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v>7</v>
      </c>
      <c r="BA25" s="33">
        <f>IF(OR($AX25="",$AX25="skip",$AX25="units?",$AX25="UNITS?",$AZ25="",$AQ25=""),"",IF($AX25="OVER",IF($AZ25&gt;$AQ25,"WON","LOST"),IF($AZ25&lt;$AQ25,"WON","LOST")))</f>
        <v/>
      </c>
      <c r="BB25" s="34">
        <f>IF($BA25="","",IF($BA25="WON",IF($AX25="OVER",$AT25*($AR25-1),$AT25*($AS25-1)),-$AT25))</f>
        <v/>
      </c>
      <c r="BC25" s="34">
        <f>IF(COUNT($BB$2:$BB25)=0,"",SUM($BB$2:$BB25))</f>
        <v/>
      </c>
      <c r="BD25" s="27" t="inlineStr">
        <is>
          <t>actual from BBC 2026-10-10 (provisional, ~97% exact vs football-data)</t>
        </is>
      </c>
      <c r="BE25" s="51" t="inlineStr">
        <is>
          <t>s mather</t>
        </is>
      </c>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v>9</v>
      </c>
      <c r="BA26" s="33">
        <f>IF(OR($AX26="",$AX26="skip",$AX26="units?",$AX26="UNITS?",$AZ26="",$AQ26=""),"",IF($AX26="OVER",IF($AZ26&gt;$AQ26,"WON","LOST"),IF($AZ26&lt;$AQ26,"WON","LOST")))</f>
        <v/>
      </c>
      <c r="BB26" s="34">
        <f>IF($BA26="","",IF($BA26="WON",IF($AX26="OVER",$AT26*($AR26-1),$AT26*($AS26-1)),-$AT26))</f>
        <v/>
      </c>
      <c r="BC26" s="34">
        <f>IF(COUNT($BB$2:$BB26)=0,"",SUM($BB$2:$BB26))</f>
        <v/>
      </c>
      <c r="BD26" s="27" t="inlineStr">
        <is>
          <t>actual from BBC 2026-10-10 (provisional, ~97% exact vs football-data)</t>
        </is>
      </c>
      <c r="BE26" s="51" t="inlineStr">
        <is>
          <t>c brook</t>
        </is>
      </c>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v>1</v>
      </c>
      <c r="BA27" s="33">
        <f>IF(OR($AX27="",$AX27="skip",$AX27="units?",$AX27="UNITS?",$AZ27="",$AQ27=""),"",IF($AX27="OVER",IF($AZ27&gt;$AQ27,"WON","LOST"),IF($AZ27&lt;$AQ27,"WON","LOST")))</f>
        <v/>
      </c>
      <c r="BB27" s="34">
        <f>IF($BA27="","",IF($BA27="WON",IF($AX27="OVER",$AT27*($AR27-1),$AT27*($AS27-1)),-$AT27))</f>
        <v/>
      </c>
      <c r="BC27" s="34">
        <f>IF(COUNT($BB$2:$BB27)=0,"",SUM($BB$2:$BB27))</f>
        <v/>
      </c>
      <c r="BD27" s="27" t="inlineStr">
        <is>
          <t>actual from BBC 2026-10-10 (provisional, ~97% exact vs football-data)</t>
        </is>
      </c>
      <c r="BE27" s="51" t="inlineStr">
        <is>
          <t>s parkinson</t>
        </is>
      </c>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v>4</v>
      </c>
      <c r="BA28" s="33">
        <f>IF(OR($AX28="",$AX28="skip",$AX28="units?",$AX28="UNITS?",$AZ28="",$AQ28=""),"",IF($AX28="OVER",IF($AZ28&gt;$AQ28,"WON","LOST"),IF($AZ28&lt;$AQ28,"WON","LOST")))</f>
        <v/>
      </c>
      <c r="BB28" s="34">
        <f>IF($BA28="","",IF($BA28="WON",IF($AX28="OVER",$AT28*($AR28-1),$AT28*($AS28-1)),-$AT28))</f>
        <v/>
      </c>
      <c r="BC28" s="34">
        <f>IF(COUNT($BB$2:$BB28)=0,"",SUM($BB$2:$BB28))</f>
        <v/>
      </c>
      <c r="BD28" s="27" t="inlineStr">
        <is>
          <t>actual from BBC 2026-10-10 (provisional, ~97% exact vs football-data)</t>
        </is>
      </c>
      <c r="BE28" s="51" t="inlineStr">
        <is>
          <t>a byrne</t>
        </is>
      </c>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v>3</v>
      </c>
      <c r="BA29" s="33">
        <f>IF(OR($AX29="",$AX29="skip",$AX29="units?",$AX29="UNITS?",$AZ29="",$AQ29=""),"",IF($AX29="OVER",IF($AZ29&gt;$AQ29,"WON","LOST"),IF($AZ29&lt;$AQ29,"WON","LOST")))</f>
        <v/>
      </c>
      <c r="BB29" s="34">
        <f>IF($BA29="","",IF($BA29="WON",IF($AX29="OVER",$AT29*($AR29-1),$AT29*($AS29-1)),-$AT29))</f>
        <v/>
      </c>
      <c r="BC29" s="34">
        <f>IF(COUNT($BB$2:$BB29)=0,"",SUM($BB$2:$BB29))</f>
        <v/>
      </c>
      <c r="BD29" s="27" t="inlineStr">
        <is>
          <t>actual from BBC 2026-10-10 (provisional, ~97% exact vs football-data)</t>
        </is>
      </c>
      <c r="BE29" s="51" t="inlineStr">
        <is>
          <t>m coy</t>
        </is>
      </c>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v>2</v>
      </c>
      <c r="BA30" s="33">
        <f>IF(OR($AX30="",$AX30="skip",$AX30="units?",$AX30="UNITS?",$AZ30="",$AQ30=""),"",IF($AX30="OVER",IF($AZ30&gt;$AQ30,"WON","LOST"),IF($AZ30&lt;$AQ30,"WON","LOST")))</f>
        <v/>
      </c>
      <c r="BB30" s="34">
        <f>IF($BA30="","",IF($BA30="WON",IF($AX30="OVER",$AT30*($AR30-1),$AT30*($AS30-1)),-$AT30))</f>
        <v/>
      </c>
      <c r="BC30" s="34">
        <f>IF(COUNT($BB$2:$BB30)=0,"",SUM($BB$2:$BB30))</f>
        <v/>
      </c>
      <c r="BD30" s="27" t="inlineStr">
        <is>
          <t>actual from BBC 2026-10-10 (provisional, ~97% exact vs football-data)</t>
        </is>
      </c>
      <c r="BE30" s="51" t="inlineStr">
        <is>
          <t>s oldham</t>
        </is>
      </c>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v>4</v>
      </c>
      <c r="BA31" s="33">
        <f>IF(OR($AX31="",$AX31="skip",$AX31="units?",$AX31="UNITS?",$AZ31="",$AQ31=""),"",IF($AX31="OVER",IF($AZ31&gt;$AQ31,"WON","LOST"),IF($AZ31&lt;$AQ31,"WON","LOST")))</f>
        <v/>
      </c>
      <c r="BB31" s="34">
        <f>IF($BA31="","",IF($BA31="WON",IF($AX31="OVER",$AT31*($AR31-1),$AT31*($AS31-1)),-$AT31))</f>
        <v/>
      </c>
      <c r="BC31" s="34">
        <f>IF(COUNT($BB$2:$BB31)=0,"",SUM($BB$2:$BB31))</f>
        <v/>
      </c>
      <c r="BD31" s="27" t="inlineStr">
        <is>
          <t>actual from BBC 2026-10-10 (provisional, ~97% exact vs football-data); 1 straight red (no yellows added)</t>
        </is>
      </c>
      <c r="BE31" s="51" t="inlineStr">
        <is>
          <t>t robinson</t>
        </is>
      </c>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v>9</v>
      </c>
      <c r="BA32" s="33">
        <f>IF(OR($AX32="",$AX32="skip",$AX32="units?",$AX32="UNITS?",$AZ32="",$AQ32=""),"",IF($AX32="OVER",IF($AZ32&gt;$AQ32,"WON","LOST"),IF($AZ32&lt;$AQ32,"WON","LOST")))</f>
        <v/>
      </c>
      <c r="BB32" s="34">
        <f>IF($BA32="","",IF($BA32="WON",IF($AX32="OVER",$AT32*($AR32-1),$AT32*($AS32-1)),-$AT32))</f>
        <v/>
      </c>
      <c r="BC32" s="34">
        <f>IF(COUNT($BB$2:$BB32)=0,"",SUM($BB$2:$BB32))</f>
        <v/>
      </c>
      <c r="BD32" s="27" t="inlineStr">
        <is>
          <t>actual from BBC 2026-10-10 (provisional, ~97% exact vs football-data); 1 straight red (no yellows added)</t>
        </is>
      </c>
      <c r="BE32" s="51" t="inlineStr">
        <is>
          <t>d rock</t>
        </is>
      </c>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v>7</v>
      </c>
      <c r="BA33" s="33">
        <f>IF(OR($AX33="",$AX33="skip",$AX33="units?",$AX33="UNITS?",$AZ33="",$AQ33=""),"",IF($AX33="OVER",IF($AZ33&gt;$AQ33,"WON","LOST"),IF($AZ33&lt;$AQ33,"WON","LOST")))</f>
        <v/>
      </c>
      <c r="BB33" s="34">
        <f>IF($BA33="","",IF($BA33="WON",IF($AX33="OVER",$AT33*($AR33-1),$AT33*($AS33-1)),-$AT33))</f>
        <v/>
      </c>
      <c r="BC33" s="34">
        <f>IF(COUNT($BB$2:$BB33)=0,"",SUM($BB$2:$BB33))</f>
        <v/>
      </c>
      <c r="BD33" s="27" t="inlineStr">
        <is>
          <t>actual from BBC 2026-10-10 (provisional, ~97% exact vs football-data)</t>
        </is>
      </c>
      <c r="BE33" s="51" t="inlineStr">
        <is>
          <t>b atkinson</t>
        </is>
      </c>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v>7</v>
      </c>
      <c r="BA34" s="33">
        <f>IF(OR($AX34="",$AX34="skip",$AX34="units?",$AX34="UNITS?",$AZ34="",$AQ34=""),"",IF($AX34="OVER",IF($AZ34&gt;$AQ34,"WON","LOST"),IF($AZ34&lt;$AQ34,"WON","LOST")))</f>
        <v/>
      </c>
      <c r="BB34" s="34">
        <f>IF($BA34="","",IF($BA34="WON",IF($AX34="OVER",$AT34*($AR34-1),$AT34*($AS34-1)),-$AT34))</f>
        <v/>
      </c>
      <c r="BC34" s="34">
        <f>IF(COUNT($BB$2:$BB34)=0,"",SUM($BB$2:$BB34))</f>
        <v/>
      </c>
      <c r="BD34" s="27" t="inlineStr">
        <is>
          <t>actual from BBC 2026-10-10 (provisional, ~97% exact vs football-data)</t>
        </is>
      </c>
      <c r="BE34" s="51" t="inlineStr">
        <is>
          <t>j robinson</t>
        </is>
      </c>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v>4</v>
      </c>
      <c r="BA35" s="33">
        <f>IF(OR($AX35="",$AX35="skip",$AX35="units?",$AX35="UNITS?",$AZ35="",$AQ35=""),"",IF($AX35="OVER",IF($AZ35&gt;$AQ35,"WON","LOST"),IF($AZ35&lt;$AQ35,"WON","LOST")))</f>
        <v/>
      </c>
      <c r="BB35" s="34">
        <f>IF($BA35="","",IF($BA35="WON",IF($AX35="OVER",$AT35*($AR35-1),$AT35*($AS35-1)),-$AT35))</f>
        <v/>
      </c>
      <c r="BC35" s="34">
        <f>IF(COUNT($BB$2:$BB35)=0,"",SUM($BB$2:$BB35))</f>
        <v/>
      </c>
      <c r="BD35" s="27" t="inlineStr">
        <is>
          <t>actual from BBC 2026-10-10 (provisional, ~97% exact vs football-data)</t>
        </is>
      </c>
      <c r="BE35" s="51" t="inlineStr">
        <is>
          <t>o mackey</t>
        </is>
      </c>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v>6</v>
      </c>
      <c r="BA36" s="33">
        <f>IF(OR($AX36="",$AX36="skip",$AX36="units?",$AX36="UNITS?",$AZ36="",$AQ36=""),"",IF($AX36="OVER",IF($AZ36&gt;$AQ36,"WON","LOST"),IF($AZ36&lt;$AQ36,"WON","LOST")))</f>
        <v/>
      </c>
      <c r="BB36" s="34">
        <f>IF($BA36="","",IF($BA36="WON",IF($AX36="OVER",$AT36*($AR36-1),$AT36*($AS36-1)),-$AT36))</f>
        <v/>
      </c>
      <c r="BC36" s="34">
        <f>IF(COUNT($BB$2:$BB36)=0,"",SUM($BB$2:$BB36))</f>
        <v/>
      </c>
      <c r="BD36" s="27" t="inlineStr">
        <is>
          <t>actual from BBC 2026-10-10 (provisional, ~97% exact vs football-data)</t>
        </is>
      </c>
      <c r="BE36" s="51" t="inlineStr">
        <is>
          <t>b toner</t>
        </is>
      </c>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v>2</v>
      </c>
      <c r="BA37" s="33">
        <f>IF(OR($AX37="",$AX37="skip",$AX37="units?",$AX37="UNITS?",$AZ37="",$AQ37=""),"",IF($AX37="OVER",IF($AZ37&gt;$AQ37,"WON","LOST"),IF($AZ37&lt;$AQ37,"WON","LOST")))</f>
        <v/>
      </c>
      <c r="BB37" s="34">
        <f>IF($BA37="","",IF($BA37="WON",IF($AX37="OVER",$AT37*($AR37-1),$AT37*($AS37-1)),-$AT37))</f>
        <v/>
      </c>
      <c r="BC37" s="34">
        <f>IF(COUNT($BB$2:$BB37)=0,"",SUM($BB$2:$BB37))</f>
        <v/>
      </c>
      <c r="BD37" s="27" t="inlineStr">
        <is>
          <t>actual from BBC 2026-10-10 (provisional, ~97% exact vs football-data)</t>
        </is>
      </c>
      <c r="BE37" s="51" t="inlineStr">
        <is>
          <t>r martin</t>
        </is>
      </c>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v>5</v>
      </c>
      <c r="BA38" s="33">
        <f>IF(OR($AX38="",$AX38="skip",$AX38="units?",$AX38="UNITS?",$AZ38="",$AQ38=""),"",IF($AX38="OVER",IF($AZ38&gt;$AQ38,"WON","LOST"),IF($AZ38&lt;$AQ38,"WON","LOST")))</f>
        <v/>
      </c>
      <c r="BB38" s="34">
        <f>IF($BA38="","",IF($BA38="WON",IF($AX38="OVER",$AT38*($AR38-1),$AT38*($AS38-1)),-$AT38))</f>
        <v/>
      </c>
      <c r="BC38" s="34">
        <f>IF(COUNT($BB$2:$BB38)=0,"",SUM($BB$2:$BB38))</f>
        <v/>
      </c>
      <c r="BD38" s="27" t="inlineStr">
        <is>
          <t>actual from BBC 2026-10-10 (provisional, ~97% exact vs football-data)</t>
        </is>
      </c>
      <c r="BE38" s="51" t="inlineStr">
        <is>
          <t>w davis</t>
        </is>
      </c>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v>6</v>
      </c>
      <c r="BA39" s="33">
        <f>IF(OR($AX39="",$AX39="skip",$AX39="units?",$AX39="UNITS?",$AZ39="",$AQ39=""),"",IF($AX39="OVER",IF($AZ39&gt;$AQ39,"WON","LOST"),IF($AZ39&lt;$AQ39,"WON","LOST")))</f>
        <v/>
      </c>
      <c r="BB39" s="34">
        <f>IF($BA39="","",IF($BA39="WON",IF($AX39="OVER",$AT39*($AR39-1),$AT39*($AS39-1)),-$AT39))</f>
        <v/>
      </c>
      <c r="BC39" s="34">
        <f>IF(COUNT($BB$2:$BB39)=0,"",SUM($BB$2:$BB39))</f>
        <v/>
      </c>
      <c r="BD39" s="27" t="inlineStr">
        <is>
          <t>actual from BBC 2026-10-10 (provisional, ~97% exact vs football-data)</t>
        </is>
      </c>
      <c r="BE39" s="51" t="inlineStr">
        <is>
          <t>d brown</t>
        </is>
      </c>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v>3</v>
      </c>
      <c r="BA40" s="33">
        <f>IF(OR($AX40="",$AX40="skip",$AX40="units?",$AX40="UNITS?",$AZ40="",$AQ40=""),"",IF($AX40="OVER",IF($AZ40&gt;$AQ40,"WON","LOST"),IF($AZ40&lt;$AQ40,"WON","LOST")))</f>
        <v/>
      </c>
      <c r="BB40" s="34">
        <f>IF($BA40="","",IF($BA40="WON",IF($AX40="OVER",$AT40*($AR40-1),$AT40*($AS40-1)),-$AT40))</f>
        <v/>
      </c>
      <c r="BC40" s="34">
        <f>IF(COUNT($BB$2:$BB40)=0,"",SUM($BB$2:$BB40))</f>
        <v/>
      </c>
      <c r="BD40" s="27" t="inlineStr">
        <is>
          <t>actual from BBC 2026-10-10 (provisional, ~97% exact vs football-data)</t>
        </is>
      </c>
      <c r="BE40" s="51" t="inlineStr">
        <is>
          <t>j o'connor</t>
        </is>
      </c>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v>1</v>
      </c>
      <c r="BA41" s="33">
        <f>IF(OR($AX41="",$AX41="skip",$AX41="units?",$AX41="UNITS?",$AZ41="",$AQ41=""),"",IF($AX41="OVER",IF($AZ41&gt;$AQ41,"WON","LOST"),IF($AZ41&lt;$AQ41,"WON","LOST")))</f>
        <v/>
      </c>
      <c r="BB41" s="34">
        <f>IF($BA41="","",IF($BA41="WON",IF($AX41="OVER",$AT41*($AR41-1),$AT41*($AS41-1)),-$AT41))</f>
        <v/>
      </c>
      <c r="BC41" s="34">
        <f>IF(COUNT($BB$2:$BB41)=0,"",SUM($BB$2:$BB41))</f>
        <v/>
      </c>
      <c r="BD41" s="27" t="inlineStr">
        <is>
          <t>actual from BBC 2026-10-10 (provisional, ~97% exact vs football-data)</t>
        </is>
      </c>
      <c r="BE41" s="51" t="inlineStr">
        <is>
          <t>s gill</t>
        </is>
      </c>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v>3</v>
      </c>
      <c r="BA42" s="33">
        <f>IF(OR($AX42="",$AX42="skip",$AX42="units?",$AX42="UNITS?",$AZ42="",$AQ42=""),"",IF($AX42="OVER",IF($AZ42&gt;$AQ42,"WON","LOST"),IF($AZ42&lt;$AQ42,"WON","LOST")))</f>
        <v/>
      </c>
      <c r="BB42" s="34">
        <f>IF($BA42="","",IF($BA42="WON",IF($AX42="OVER",$AT42*($AR42-1),$AT42*($AS42-1)),-$AT42))</f>
        <v/>
      </c>
      <c r="BC42" s="34">
        <f>IF(COUNT($BB$2:$BB42)=0,"",SUM($BB$2:$BB42))</f>
        <v/>
      </c>
      <c r="BD42" s="27" t="inlineStr">
        <is>
          <t>actual from BBC 2026-10-10 (provisional, ~97% exact vs football-data)</t>
        </is>
      </c>
      <c r="BE42" s="51" t="inlineStr">
        <is>
          <t>m barlow</t>
        </is>
      </c>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v>4</v>
      </c>
      <c r="BA43" s="33">
        <f>IF(OR($AX43="",$AX43="skip",$AX43="units?",$AX43="UNITS?",$AZ43="",$AQ43=""),"",IF($AX43="OVER",IF($AZ43&gt;$AQ43,"WON","LOST"),IF($AZ43&lt;$AQ43,"WON","LOST")))</f>
        <v/>
      </c>
      <c r="BB43" s="34">
        <f>IF($BA43="","",IF($BA43="WON",IF($AX43="OVER",$AT43*($AR43-1),$AT43*($AS43-1)),-$AT43))</f>
        <v/>
      </c>
      <c r="BC43" s="34">
        <f>IF(COUNT($BB$2:$BB43)=0,"",SUM($BB$2:$BB43))</f>
        <v/>
      </c>
      <c r="BD43" s="27" t="inlineStr">
        <is>
          <t>actual from BBC 2026-10-11 (provisional, ~97% exact vs football-data)</t>
        </is>
      </c>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v>2</v>
      </c>
      <c r="BA44" s="33">
        <f>IF(OR($AX44="",$AX44="skip",$AX44="units?",$AX44="UNITS?",$AZ44="",$AQ44=""),"",IF($AX44="OVER",IF($AZ44&gt;$AQ44,"WON","LOST"),IF($AZ44&lt;$AQ44,"WON","LOST")))</f>
        <v/>
      </c>
      <c r="BB44" s="34">
        <f>IF($BA44="","",IF($BA44="WON",IF($AX44="OVER",$AT44*($AR44-1),$AT44*($AS44-1)),-$AT44))</f>
        <v/>
      </c>
      <c r="BC44" s="34">
        <f>IF(COUNT($BB$2:$BB44)=0,"",SUM($BB$2:$BB44))</f>
        <v/>
      </c>
      <c r="BD44" s="27" t="inlineStr">
        <is>
          <t>actual from BBC 2026-10-11 (provisional, ~97% exact vs football-data)</t>
        </is>
      </c>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v>4</v>
      </c>
      <c r="BA45" s="33">
        <f>IF(OR($AX45="",$AX45="skip",$AX45="units?",$AX45="UNITS?",$AZ45="",$AQ45=""),"",IF($AX45="OVER",IF($AZ45&gt;$AQ45,"WON","LOST"),IF($AZ45&lt;$AQ45,"WON","LOST")))</f>
        <v/>
      </c>
      <c r="BB45" s="34">
        <f>IF($BA45="","",IF($BA45="WON",IF($AX45="OVER",$AT45*($AR45-1),$AT45*($AS45-1)),-$AT45))</f>
        <v/>
      </c>
      <c r="BC45" s="34">
        <f>IF(COUNT($BB$2:$BB45)=0,"",SUM($BB$2:$BB45))</f>
        <v/>
      </c>
      <c r="BD45" s="27" t="inlineStr">
        <is>
          <t>actual from BBC 2026-10-11 (provisional, ~97% exact vs football-data); 1 second-caution dismissal(s) -- not adjusted</t>
        </is>
      </c>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v>6</v>
      </c>
      <c r="BA46" s="33">
        <f>IF(OR($AX46="",$AX46="skip",$AX46="units?",$AX46="UNITS?",$AZ46="",$AQ46=""),"",IF($AX46="OVER",IF($AZ46&gt;$AQ46,"WON","LOST"),IF($AZ46&lt;$AQ46,"WON","LOST")))</f>
        <v/>
      </c>
      <c r="BB46" s="34">
        <f>IF($BA46="","",IF($BA46="WON",IF($AX46="OVER",$AT46*($AR46-1),$AT46*($AS46-1)),-$AT46))</f>
        <v/>
      </c>
      <c r="BC46" s="34">
        <f>IF(COUNT($BB$2:$BB46)=0,"",SUM($BB$2:$BB46))</f>
        <v/>
      </c>
      <c r="BD46" s="27" t="inlineStr">
        <is>
          <t>actual from BBC 2026-10-11 (provisional, ~97% exact vs football-data); 1 second-caution dismissal(s) -- not adjusted</t>
        </is>
      </c>
      <c r="BE46" s="51" t="inlineStr">
        <is>
          <t>a herczeg</t>
        </is>
      </c>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48" t="inlineStr">
        <is>
          <t>HOW TO USE THIS SHEET</t>
        </is>
      </c>
    </row>
    <row r="58">
      <c r="A58" s="49" t="inlineStr"/>
    </row>
    <row r="59">
      <c r="A59" s="49" t="inlineStr">
        <is>
          <t>1. Fill the yellow columns only. Everything green is computed.</t>
        </is>
      </c>
    </row>
    <row r="60">
      <c r="A60" s="49" t="inlineStr"/>
    </row>
    <row r="61">
      <c r="A61" s="49" t="inlineStr">
        <is>
          <t>2. 'Settles on' must say what the market actually pays out on. Write 'yellow cards' only if the bookmaker settles on yellows alone. If it says total cards or booking points, BET? shows UNITS? and gives no verdict -- on purpose.</t>
        </is>
      </c>
    </row>
    <row r="62">
      <c r="A62" s="49" t="inlineStr"/>
    </row>
    <row r="63">
      <c r="A63"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9" t="inlineStr"/>
    </row>
    <row r="65">
      <c r="A65" s="49" t="inlineStr">
        <is>
          <t xml:space="preserve">   The market to look for is 'Yellow Cards', as in the Chelsea screenshot -- not 'Cards' and not 'Booking Points'.</t>
        </is>
      </c>
    </row>
    <row r="66">
      <c r="A66" s="49" t="inlineStr"/>
    </row>
    <row r="67">
      <c r="A67" s="49" t="inlineStr">
        <is>
          <t>3. Record BOTH sides of the price. With one side only, the de-vig cannot run and the implied probability is overstated by the whole margin, which invents edge that is not there.</t>
        </is>
      </c>
    </row>
    <row r="68">
      <c r="A68" s="49" t="inlineStr"/>
    </row>
    <row r="69">
      <c r="A69" s="49" t="inlineStr">
        <is>
          <t>4. Record the price when you see it, before kick-off. A price looked up afterwards is not one you could have taken.</t>
        </is>
      </c>
    </row>
    <row r="70">
      <c r="A70" s="49" t="inlineStr"/>
    </row>
    <row r="71">
      <c r="A71" s="49" t="inlineStr">
        <is>
          <t>5. Stake is EUR 100 a bet. Change the column if you want; the P/L follows it.</t>
        </is>
      </c>
    </row>
    <row r="72">
      <c r="A72" s="49" t="inlineStr"/>
    </row>
    <row r="73">
      <c r="A73" s="48" t="inlineStr">
        <is>
          <t>WHAT THIS SHEET IS AND IS NOT</t>
        </is>
      </c>
    </row>
    <row r="74">
      <c r="A74" s="49" t="inlineStr"/>
    </row>
    <row r="75">
      <c r="A75" s="49" t="inlineStr">
        <is>
          <t>46 fixtures. A sample this size tells you nothing about whether the model beats a bookmaker -- a verdict on profitability needs thousands of bets. Treat a single week as practice for the workflow.</t>
        </is>
      </c>
    </row>
    <row r="76">
      <c r="A76" s="49" t="inlineStr"/>
    </row>
    <row r="77">
      <c r="A77"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9" t="inlineStr"/>
    </row>
    <row r="79">
      <c r="A79" s="49" t="inlineStr">
        <is>
          <t>Model fingerprint d30beac40c73a847, frozen for the season.</t>
        </is>
      </c>
    </row>
    <row r="80">
      <c r="A80" s="49"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2</v>
      </c>
      <c r="BA2" s="33">
        <f>IF(OR($AX2="",$AX2="skip",$AX2="units?",$AX2="UNITS?",$AZ2="",$AQ2=""),"",IF($AX2="OVER",IF($AZ2&gt;$AQ2,"WON","LOST"),IF($AZ2&lt;$AQ2,"WON","LOST")))</f>
        <v/>
      </c>
      <c r="BB2" s="34">
        <f>IF($BA2="","",IF($BA2="WON",IF($AX2="OVER",$AT2*($AR2-1),$AT2*($AS2-1)),-$AT2))</f>
        <v/>
      </c>
      <c r="BC2" s="34">
        <f>IF(COUNT($BB$2:$BB2)=0,"",SUM($BB$2:$BB2))</f>
        <v/>
      </c>
      <c r="BD2" s="27" t="inlineStr">
        <is>
          <t>actual from BBC 2026-10-03 (provisional, ~97% exact vs football-data)</t>
        </is>
      </c>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4</v>
      </c>
      <c r="BA3" s="33">
        <f>IF(OR($AX3="",$AX3="skip",$AX3="units?",$AX3="UNITS?",$AZ3="",$AQ3=""),"",IF($AX3="OVER",IF($AZ3&gt;$AQ3,"WON","LOST"),IF($AZ3&lt;$AQ3,"WON","LOST")))</f>
        <v/>
      </c>
      <c r="BB3" s="34">
        <f>IF($BA3="","",IF($BA3="WON",IF($AX3="OVER",$AT3*($AR3-1),$AT3*($AS3-1)),-$AT3))</f>
        <v/>
      </c>
      <c r="BC3" s="34">
        <f>IF(COUNT($BB$2:$BB3)=0,"",SUM($BB$2:$BB3))</f>
        <v/>
      </c>
      <c r="BD3" s="27" t="inlineStr">
        <is>
          <t>actual from BBC 2026-10-03 (provisional, ~97% exact vs football-data)</t>
        </is>
      </c>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5</v>
      </c>
      <c r="BA4" s="33">
        <f>IF(OR($AX4="",$AX4="skip",$AX4="units?",$AX4="UNITS?",$AZ4="",$AQ4=""),"",IF($AX4="OVER",IF($AZ4&gt;$AQ4,"WON","LOST"),IF($AZ4&lt;$AQ4,"WON","LOST")))</f>
        <v/>
      </c>
      <c r="BB4" s="34">
        <f>IF($BA4="","",IF($BA4="WON",IF($AX4="OVER",$AT4*($AR4-1),$AT4*($AS4-1)),-$AT4))</f>
        <v/>
      </c>
      <c r="BC4" s="34">
        <f>IF(COUNT($BB$2:$BB4)=0,"",SUM($BB$2:$BB4))</f>
        <v/>
      </c>
      <c r="BD4" s="27" t="inlineStr">
        <is>
          <t>actual from BBC 2026-10-03 (provisional, ~97% exact vs football-data)</t>
        </is>
      </c>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2026-10-03 (provisional, ~97% exact vs football-data); 1 second-caution dismissal(s) -- not adjusted</t>
        </is>
      </c>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2026-10-03 (provisional, ~97% exact vs football-data)</t>
        </is>
      </c>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8</v>
      </c>
      <c r="BA7" s="33">
        <f>IF(OR($AX7="",$AX7="skip",$AX7="units?",$AX7="UNITS?",$AZ7="",$AQ7=""),"",IF($AX7="OVER",IF($AZ7&gt;$AQ7,"WON","LOST"),IF($AZ7&lt;$AQ7,"WON","LOST")))</f>
        <v/>
      </c>
      <c r="BB7" s="34">
        <f>IF($BA7="","",IF($BA7="WON",IF($AX7="OVER",$AT7*($AR7-1),$AT7*($AS7-1)),-$AT7))</f>
        <v/>
      </c>
      <c r="BC7" s="34">
        <f>IF(COUNT($BB$2:$BB7)=0,"",SUM($BB$2:$BB7))</f>
        <v/>
      </c>
      <c r="BD7" s="27" t="inlineStr">
        <is>
          <t>actual from BBC 2026-10-03 (provisional, ~97% exact vs football-data)</t>
        </is>
      </c>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3</v>
      </c>
      <c r="BA8" s="33">
        <f>IF(OR($AX8="",$AX8="skip",$AX8="units?",$AX8="UNITS?",$AZ8="",$AQ8=""),"",IF($AX8="OVER",IF($AZ8&gt;$AQ8,"WON","LOST"),IF($AZ8&lt;$AQ8,"WON","LOST")))</f>
        <v/>
      </c>
      <c r="BB8" s="34">
        <f>IF($BA8="","",IF($BA8="WON",IF($AX8="OVER",$AT8*($AR8-1),$AT8*($AS8-1)),-$AT8))</f>
        <v/>
      </c>
      <c r="BC8" s="34">
        <f>IF(COUNT($BB$2:$BB8)=0,"",SUM($BB$2:$BB8))</f>
        <v/>
      </c>
      <c r="BD8" s="27" t="inlineStr">
        <is>
          <t>actual from BBC 2026-10-03 (provisional, ~97% exact vs football-data)</t>
        </is>
      </c>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6</v>
      </c>
      <c r="BA9" s="33">
        <f>IF(OR($AX9="",$AX9="skip",$AX9="units?",$AX9="UNITS?",$AZ9="",$AQ9=""),"",IF($AX9="OVER",IF($AZ9&gt;$AQ9,"WON","LOST"),IF($AZ9&lt;$AQ9,"WON","LOST")))</f>
        <v/>
      </c>
      <c r="BB9" s="34">
        <f>IF($BA9="","",IF($BA9="WON",IF($AX9="OVER",$AT9*($AR9-1),$AT9*($AS9-1)),-$AT9))</f>
        <v/>
      </c>
      <c r="BC9" s="34">
        <f>IF(COUNT($BB$2:$BB9)=0,"",SUM($BB$2:$BB9))</f>
        <v/>
      </c>
      <c r="BD9" s="27" t="inlineStr">
        <is>
          <t>actual from BBC 2026-10-03 (provisional, ~97% exact vs football-data)</t>
        </is>
      </c>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7</v>
      </c>
      <c r="BA10" s="33">
        <f>IF(OR($AX10="",$AX10="skip",$AX10="units?",$AX10="UNITS?",$AZ10="",$AQ10=""),"",IF($AX10="OVER",IF($AZ10&gt;$AQ10,"WON","LOST"),IF($AZ10&lt;$AQ10,"WON","LOST")))</f>
        <v/>
      </c>
      <c r="BB10" s="34">
        <f>IF($BA10="","",IF($BA10="WON",IF($AX10="OVER",$AT10*($AR10-1),$AT10*($AS10-1)),-$AT10))</f>
        <v/>
      </c>
      <c r="BC10" s="34">
        <f>IF(COUNT($BB$2:$BB10)=0,"",SUM($BB$2:$BB10))</f>
        <v/>
      </c>
      <c r="BD10" s="27" t="inlineStr">
        <is>
          <t>actual from BBC 2026-10-03 (provisional, ~97% exact vs football-data)</t>
        </is>
      </c>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2</v>
      </c>
      <c r="BA12" s="33">
        <f>IF(OR($AX12="",$AX12="skip",$AX12="units?",$AX12="UNITS?",$AZ12="",$AQ12=""),"",IF($AX12="OVER",IF($AZ12&gt;$AQ12,"WON","LOST"),IF($AZ12&lt;$AQ12,"WON","LOST")))</f>
        <v/>
      </c>
      <c r="BB12" s="34">
        <f>IF($BA12="","",IF($BA12="WON",IF($AX12="OVER",$AT12*($AR12-1),$AT12*($AS12-1)),-$AT12))</f>
        <v/>
      </c>
      <c r="BC12" s="34">
        <f>IF(COUNT($BB$2:$BB12)=0,"",SUM($BB$2:$BB12))</f>
        <v/>
      </c>
      <c r="BD12" s="27" t="inlineStr">
        <is>
          <t>actual from BBC 2026-10-03 (provisional, ~97% exact vs football-data)</t>
        </is>
      </c>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8" t="inlineStr">
        <is>
          <t>HOW TO USE THIS SHEET</t>
        </is>
      </c>
    </row>
    <row r="23">
      <c r="A23" s="49" t="inlineStr"/>
    </row>
    <row r="24">
      <c r="A24" s="49" t="inlineStr">
        <is>
          <t>1. Fill the yellow columns only. Everything green is computed.</t>
        </is>
      </c>
    </row>
    <row r="25">
      <c r="A25" s="49" t="inlineStr"/>
    </row>
    <row r="26">
      <c r="A26" s="49" t="inlineStr">
        <is>
          <t>2. 'Settles on' must say what the market actually pays out on. Write 'yellow cards' only if the bookmaker settles on yellows alone. If it says total cards or booking points, BET? shows UNITS? and gives no verdict -- on purpose.</t>
        </is>
      </c>
    </row>
    <row r="27">
      <c r="A27" s="49" t="inlineStr"/>
    </row>
    <row r="28">
      <c r="A28"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9" t="inlineStr"/>
    </row>
    <row r="30">
      <c r="A30" s="49" t="inlineStr">
        <is>
          <t xml:space="preserve">   The market to look for is 'Yellow Cards', as in the Chelsea screenshot -- not 'Cards' and not 'Booking Points'.</t>
        </is>
      </c>
    </row>
    <row r="31">
      <c r="A31" s="49" t="inlineStr"/>
    </row>
    <row r="32">
      <c r="A32" s="49" t="inlineStr">
        <is>
          <t>3. Record BOTH sides of the price. With one side only, the de-vig cannot run and the implied probability is overstated by the whole margin, which invents edge that is not there.</t>
        </is>
      </c>
    </row>
    <row r="33">
      <c r="A33" s="49" t="inlineStr"/>
    </row>
    <row r="34">
      <c r="A34" s="49" t="inlineStr">
        <is>
          <t>4. Record the price when you see it, before kick-off. A price looked up afterwards is not one you could have taken.</t>
        </is>
      </c>
    </row>
    <row r="35">
      <c r="A35" s="49" t="inlineStr"/>
    </row>
    <row r="36">
      <c r="A36" s="49" t="inlineStr">
        <is>
          <t>5. Stake is EUR 100 a bet. Change the column if you want; the P/L follows it.</t>
        </is>
      </c>
    </row>
    <row r="37">
      <c r="A37" s="49" t="inlineStr"/>
    </row>
    <row r="38">
      <c r="A38" s="48" t="inlineStr">
        <is>
          <t>WHAT THIS SHEET IS AND IS NOT</t>
        </is>
      </c>
    </row>
    <row r="39">
      <c r="A39" s="49" t="inlineStr"/>
    </row>
    <row r="40">
      <c r="A40" s="49" t="inlineStr">
        <is>
          <t>11 fixtures. A sample this size tells you nothing about whether the model beats a bookmaker -- a verdict on profitability needs thousands of bets. Treat a single week as practice for the workflow.</t>
        </is>
      </c>
    </row>
    <row r="41">
      <c r="A41" s="49" t="inlineStr"/>
    </row>
    <row r="42">
      <c r="A42"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9" t="inlineStr"/>
    </row>
    <row r="44">
      <c r="A44" s="49" t="inlineStr">
        <is>
          <t>Model fingerprint d30beac40c73a847, frozen for the season.</t>
        </is>
      </c>
    </row>
    <row r="45">
      <c r="A45" s="49"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2026-10-12T14:06:45Z</dcterms:modified>
  <cp:lastModifiedBy>Artur Markosyan - ibdp2</cp:lastModifiedBy>
</cp:coreProperties>
</file>